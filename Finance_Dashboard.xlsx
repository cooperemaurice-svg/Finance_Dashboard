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hidePivotFieldList="1" defaultThemeVersion="202300"/>
  <xr:revisionPtr revIDLastSave="194" documentId="8_{860EF04A-4200-4E8A-B1F0-34D93AAC40D7}" xr6:coauthVersionLast="47" xr6:coauthVersionMax="47" xr10:uidLastSave="{4A46610C-FAD8-432E-B4DF-382E24769C0C}"/>
  <bookViews>
    <workbookView xWindow="28680" yWindow="-165" windowWidth="29040" windowHeight="15720" xr2:uid="{D592F486-8EE8-4B85-8292-0F4CDCA16D63}"/>
  </bookViews>
  <sheets>
    <sheet name="Income" sheetId="6" r:id="rId1"/>
    <sheet name="Expenses" sheetId="7" r:id="rId2"/>
    <sheet name="Budget" sheetId="8" r:id="rId3"/>
    <sheet name="Savings" sheetId="3" r:id="rId4"/>
    <sheet name="investments" sheetId="4" r:id="rId5"/>
    <sheet name="Sample_Transactions" sheetId="2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8" l="1"/>
  <c r="E4" i="8"/>
  <c r="E5" i="8"/>
  <c r="E7" i="8"/>
  <c r="E8" i="8"/>
  <c r="E9" i="8"/>
  <c r="E10" i="8"/>
  <c r="E11" i="8"/>
  <c r="E3" i="8"/>
  <c r="D3" i="8"/>
  <c r="D4" i="8"/>
  <c r="D5" i="8"/>
  <c r="D6" i="8"/>
  <c r="D7" i="8"/>
  <c r="D8" i="8"/>
  <c r="D9" i="8"/>
  <c r="D10" i="8"/>
  <c r="D11" i="8"/>
  <c r="C5" i="8"/>
  <c r="C6" i="8"/>
  <c r="C7" i="8"/>
  <c r="C8" i="8"/>
  <c r="C9" i="8"/>
  <c r="C10" i="8"/>
  <c r="C11" i="8"/>
  <c r="C4" i="8"/>
  <c r="C3" i="8"/>
  <c r="B12" i="8"/>
  <c r="A12" i="8"/>
  <c r="D12" i="8" l="1"/>
  <c r="E12" i="8"/>
  <c r="C12" i="8"/>
</calcChain>
</file>

<file path=xl/sharedStrings.xml><?xml version="1.0" encoding="utf-8"?>
<sst xmlns="http://schemas.openxmlformats.org/spreadsheetml/2006/main" count="651" uniqueCount="58">
  <si>
    <t>Expense</t>
  </si>
  <si>
    <t>Entertainment</t>
  </si>
  <si>
    <t>Tax Refund</t>
  </si>
  <si>
    <t>Income</t>
  </si>
  <si>
    <t>Month</t>
  </si>
  <si>
    <t>Description</t>
  </si>
  <si>
    <t>Amount</t>
  </si>
  <si>
    <t>Groceries</t>
  </si>
  <si>
    <t>Education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</si>
  <si>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</si>
  <si>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</si>
  <si>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</si>
  <si>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</si>
  <si>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</si>
  <si>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</si>
  <si>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</si>
  <si>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</si>
  <si>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Category</t>
  </si>
  <si>
    <t>Jul</t>
  </si>
  <si>
    <t>Sum of Amount</t>
  </si>
  <si>
    <t>Savings</t>
  </si>
  <si>
    <t>Investment</t>
  </si>
  <si>
    <t>Budget</t>
  </si>
  <si>
    <t>Actual</t>
  </si>
  <si>
    <t>Difference</t>
  </si>
  <si>
    <t>January</t>
  </si>
  <si>
    <t>Month Name</t>
  </si>
  <si>
    <t>July</t>
  </si>
  <si>
    <t>June</t>
  </si>
  <si>
    <t>April</t>
  </si>
  <si>
    <t>March</t>
  </si>
  <si>
    <t>February</t>
  </si>
  <si>
    <t>RollOver</t>
  </si>
  <si>
    <t>Date</t>
  </si>
  <si>
    <t>Transaction Type</t>
  </si>
  <si>
    <t>Account</t>
  </si>
  <si>
    <t>Monthly Phone Bill</t>
  </si>
  <si>
    <t>Phone</t>
  </si>
  <si>
    <t>Checking</t>
  </si>
  <si>
    <t>Paycheck</t>
  </si>
  <si>
    <t>Employment Income</t>
  </si>
  <si>
    <t>Roth IRA Contribution</t>
  </si>
  <si>
    <t>Transfer to High-Yield Savings</t>
  </si>
  <si>
    <t>HYSA Contribution</t>
  </si>
  <si>
    <t>Fuel Purchase</t>
  </si>
  <si>
    <t>Transportation</t>
  </si>
  <si>
    <t>Credit Card</t>
  </si>
  <si>
    <t>Dining Purchase</t>
  </si>
  <si>
    <t>Dining Out</t>
  </si>
  <si>
    <t>Personal Purchase</t>
  </si>
  <si>
    <t>Personal</t>
  </si>
  <si>
    <t>Entertainment Subscription</t>
  </si>
  <si>
    <t>Other Income</t>
  </si>
  <si>
    <t>School Supplies</t>
  </si>
  <si>
    <t>Cash Deposit</t>
  </si>
  <si>
    <t>Birthday Gift</t>
  </si>
  <si>
    <t>Gifts Received</t>
  </si>
  <si>
    <t>Car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</si>
</sst>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4">
    <dxf>
      <font>
        <color rgb="FFC00000"/>
      </font>
      <fill>
        <patternFill>
          <bgColor rgb="FFF46666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FFC000"/>
      </font>
      <fill>
        <patternFill>
          <bgColor rgb="FFFFFE48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5" tint="-0.24994659260841701"/>
      </font>
      <fill>
        <patternFill>
          <bgColor rgb="FFFFE64F"/>
        </patternFill>
      </fill>
    </dxf>
    <dxf>
      <font>
        <color rgb="FFC00000"/>
      </font>
      <fill>
        <patternFill>
          <bgColor rgb="FFFF5757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081"/>
      <color rgb="FFFFE41D"/>
      <color rgb="FFDFC713"/>
      <color rgb="FFFFE64F"/>
      <color rgb="FFFFEC5D"/>
      <color rgb="FFFF5757"/>
      <color rgb="FFD3D81A"/>
      <color rgb="FFFFFF6D"/>
      <color rgb="FFFD7777"/>
      <color rgb="FFF8FF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40.664187847222" createdVersion="8" refreshedVersion="8" minRefreshableVersion="3" recordCount="116" xr:uid="{C33D6EFA-3D4D-4C75-9C3F-2C804A41D62F}">
  <cacheSource type="worksheet">
    <worksheetSource name="Sample_Transactions"/>
  </cacheSource>
  <cacheFields count="8">
    <cacheField name="Date" numFmtId="14">
      <sharedItems containsSemiMixedTypes="0" containsNonDate="0" containsDate="1" containsString="0" minDate="2026-01-01T00:00:00" maxDate="2026-08-01T00:00:00" count="80">
        <d v="2026-01-01T00:00:00"/>
        <d v="2026-01-02T00:00:00"/>
        <d v="2026-01-03T00:00:00"/>
        <d v="2026-01-05T00:00:00"/>
        <d v="2026-01-08T00:00:00"/>
        <d v="2026-01-11T00:00:00"/>
        <d v="2026-01-14T00:00:00"/>
        <d v="2026-01-16T00:00:00"/>
        <d v="2026-01-18T00:00:00"/>
        <d v="2026-01-21T00:00:00"/>
        <d v="2026-01-25T00:00:00"/>
        <d v="2026-01-30T00:00:00"/>
        <d v="2026-02-01T00:00:00"/>
        <d v="2026-02-03T00:00:00"/>
        <d v="2026-02-05T00:00:00"/>
        <d v="2026-02-06T00:00:00"/>
        <d v="2026-02-08T00:00:00"/>
        <d v="2026-02-11T00:00:00"/>
        <d v="2026-02-13T00:00:00"/>
        <d v="2026-02-14T00:00:00"/>
        <d v="2026-02-18T00:00:00"/>
        <d v="2026-02-21T00:00:00"/>
        <d v="2026-02-25T00:00:00"/>
        <d v="2026-02-27T00:00:00"/>
        <d v="2026-03-01T00:00:00"/>
        <d v="2026-03-03T00:00:00"/>
        <d v="2026-03-05T00:00:00"/>
        <d v="2026-03-08T00:00:00"/>
        <d v="2026-03-11T00:00:00"/>
        <d v="2026-03-13T00:00:00"/>
        <d v="2026-03-14T00:00:00"/>
        <d v="2026-03-18T00:00:00"/>
        <d v="2026-03-20T00:00:00"/>
        <d v="2026-03-21T00:00:00"/>
        <d v="2026-03-25T00:00:00"/>
        <d v="2026-03-27T00:00:00"/>
        <d v="2026-04-01T00:00:00"/>
        <d v="2026-04-03T00:00:00"/>
        <d v="2026-04-05T00:00:00"/>
        <d v="2026-04-08T00:00:00"/>
        <d v="2026-04-10T00:00:00"/>
        <d v="2026-04-11T00:00:00"/>
        <d v="2026-04-14T00:00:00"/>
        <d v="2026-04-18T00:00:00"/>
        <d v="2026-04-21T00:00:00"/>
        <d v="2026-04-24T00:00:00"/>
        <d v="2026-04-25T00:00:00"/>
        <d v="2026-05-01T00:00:00"/>
        <d v="2026-05-03T00:00:00"/>
        <d v="2026-05-05T00:00:00"/>
        <d v="2026-05-08T00:00:00"/>
        <d v="2026-05-11T00:00:00"/>
        <d v="2026-05-14T00:00:00"/>
        <d v="2026-05-15T00:00:00"/>
        <d v="2026-05-18T00:00:00"/>
        <d v="2026-05-21T00:00:00"/>
        <d v="2026-05-22T00:00:00"/>
        <d v="2026-05-25T00:00:00"/>
        <d v="2026-06-01T00:00:00"/>
        <d v="2026-06-03T00:00:00"/>
        <d v="2026-06-05T00:00:00"/>
        <d v="2026-06-08T00:00:00"/>
        <d v="2026-06-11T00:00:00"/>
        <d v="2026-06-14T00:00:00"/>
        <d v="2026-06-18T00:00:00"/>
        <d v="2026-06-19T00:00:00"/>
        <d v="2026-06-21T00:00:00"/>
        <d v="2026-06-25T00:00:00"/>
        <d v="2026-07-01T00:00:00"/>
        <d v="2026-07-03T00:00:00"/>
        <d v="2026-07-05T00:00:00"/>
        <d v="2026-07-08T00:00:00"/>
        <d v="2026-07-10T00:00:00"/>
        <d v="2026-07-11T00:00:00"/>
        <d v="2026-07-14T00:00:00"/>
        <d v="2026-07-17T00:00:00"/>
        <d v="2026-07-18T00:00:00"/>
        <d v="2026-07-21T00:00:00"/>
        <d v="2026-07-25T00:00:00"/>
        <d v="2026-07-31T00:00:00"/>
      </sharedItems>
      <fieldGroup par="7"/>
    </cacheField>
    <cacheField name="Description" numFmtId="0">
      <sharedItems count="14">
        <s v="Monthly Phone Bill"/>
        <s v="Paycheck"/>
        <s v="Roth IRA Contribution"/>
        <s v="Transfer to High-Yield Savings"/>
        <s v="Fuel Purchase"/>
        <s v="Groceries"/>
        <s v="Dining Purchase"/>
        <s v="Personal Purchase"/>
        <s v="Entertainment Subscription"/>
        <s v="Tax Refund"/>
        <s v="School Supplies"/>
        <s v="Cash Deposit"/>
        <s v="Birthday Gift"/>
        <s v="Car Maintenance"/>
      </sharedItems>
    </cacheField>
    <cacheField name="Amount" numFmtId="0">
      <sharedItems containsSemiMixedTypes="0" containsString="0" containsNumber="1" minValue="-176.8" maxValue="889.04"/>
    </cacheField>
    <cacheField name="Transaction Type" numFmtId="0">
      <sharedItems count="4">
        <s v="Expense"/>
        <s v="Income"/>
        <s v="Investment"/>
        <s v="Savings"/>
      </sharedItems>
    </cacheField>
    <cacheField name="Category" numFmtId="0">
      <sharedItems/>
    </cacheField>
    <cacheField name="Account" numFmtId="0">
      <sharedItems/>
    </cacheField>
    <cacheField name="Days (Date)" numFmtId="0" databaseField="0">
      <fieldGroup base="0">
        <rangePr groupBy="days" startDate="2026-01-01T00:00:00" endDate="2026-08-01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1/2026"/>
        </groupItems>
      </fieldGroup>
    </cacheField>
    <cacheField name="Months (Date)" numFmtId="0" databaseField="0">
      <fieldGroup base="0">
        <rangePr groupBy="months" startDate="2026-01-01T00:00:00" endDate="2026-08-01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n v="-65"/>
    <x v="0"/>
    <s v="Phone"/>
    <s v="Checking"/>
  </r>
  <r>
    <x v="1"/>
    <x v="1"/>
    <n v="842.18"/>
    <x v="1"/>
    <s v="Employment Income"/>
    <s v="Checking"/>
  </r>
  <r>
    <x v="1"/>
    <x v="2"/>
    <n v="-150"/>
    <x v="2"/>
    <s v="Roth IRA Contribution"/>
    <s v="Checking"/>
  </r>
  <r>
    <x v="1"/>
    <x v="3"/>
    <n v="-100"/>
    <x v="3"/>
    <s v="HYSA Contribution"/>
    <s v="Checking"/>
  </r>
  <r>
    <x v="2"/>
    <x v="4"/>
    <n v="-92.45"/>
    <x v="0"/>
    <s v="Transportation"/>
    <s v="Credit Card"/>
  </r>
  <r>
    <x v="3"/>
    <x v="5"/>
    <n v="-46.82"/>
    <x v="0"/>
    <s v="Groceries"/>
    <s v="Credit Card"/>
  </r>
  <r>
    <x v="4"/>
    <x v="6"/>
    <n v="-38.200000000000003"/>
    <x v="0"/>
    <s v="Dining Out"/>
    <s v="Credit Card"/>
  </r>
  <r>
    <x v="5"/>
    <x v="7"/>
    <n v="-27.64"/>
    <x v="0"/>
    <s v="Personal"/>
    <s v="Credit Card"/>
  </r>
  <r>
    <x v="6"/>
    <x v="4"/>
    <n v="-55.3"/>
    <x v="0"/>
    <s v="Transportation"/>
    <s v="Credit Card"/>
  </r>
  <r>
    <x v="7"/>
    <x v="1"/>
    <n v="861.42"/>
    <x v="1"/>
    <s v="Employment Income"/>
    <s v="Checking"/>
  </r>
  <r>
    <x v="7"/>
    <x v="2"/>
    <n v="-150"/>
    <x v="2"/>
    <s v="Roth IRA Contribution"/>
    <s v="Checking"/>
  </r>
  <r>
    <x v="7"/>
    <x v="3"/>
    <n v="-100"/>
    <x v="3"/>
    <s v="HYSA Contribution"/>
    <s v="Checking"/>
  </r>
  <r>
    <x v="8"/>
    <x v="8"/>
    <n v="-24.99"/>
    <x v="0"/>
    <s v="Entertainment"/>
    <s v="Credit Card"/>
  </r>
  <r>
    <x v="9"/>
    <x v="6"/>
    <n v="-18.75"/>
    <x v="0"/>
    <s v="Dining Out"/>
    <s v="Credit Card"/>
  </r>
  <r>
    <x v="10"/>
    <x v="5"/>
    <n v="-41.16"/>
    <x v="0"/>
    <s v="Groceries"/>
    <s v="Credit Card"/>
  </r>
  <r>
    <x v="11"/>
    <x v="1"/>
    <n v="834.76"/>
    <x v="1"/>
    <s v="Employment Income"/>
    <s v="Checking"/>
  </r>
  <r>
    <x v="11"/>
    <x v="2"/>
    <n v="-150"/>
    <x v="2"/>
    <s v="Roth IRA Contribution"/>
    <s v="Checking"/>
  </r>
  <r>
    <x v="11"/>
    <x v="3"/>
    <n v="-100"/>
    <x v="3"/>
    <s v="HYSA Contribution"/>
    <s v="Checking"/>
  </r>
  <r>
    <x v="12"/>
    <x v="0"/>
    <n v="-65"/>
    <x v="0"/>
    <s v="Phone"/>
    <s v="Checking"/>
  </r>
  <r>
    <x v="13"/>
    <x v="4"/>
    <n v="-88.7"/>
    <x v="0"/>
    <s v="Transportation"/>
    <s v="Credit Card"/>
  </r>
  <r>
    <x v="14"/>
    <x v="5"/>
    <n v="-51.24"/>
    <x v="0"/>
    <s v="Groceries"/>
    <s v="Credit Card"/>
  </r>
  <r>
    <x v="15"/>
    <x v="9"/>
    <n v="312.45"/>
    <x v="1"/>
    <s v="Other Income"/>
    <s v="Checking"/>
  </r>
  <r>
    <x v="16"/>
    <x v="6"/>
    <n v="-35.9"/>
    <x v="0"/>
    <s v="Dining Out"/>
    <s v="Credit Card"/>
  </r>
  <r>
    <x v="17"/>
    <x v="7"/>
    <n v="-31.48"/>
    <x v="0"/>
    <s v="Personal"/>
    <s v="Credit Card"/>
  </r>
  <r>
    <x v="18"/>
    <x v="1"/>
    <n v="873.1"/>
    <x v="1"/>
    <s v="Employment Income"/>
    <s v="Checking"/>
  </r>
  <r>
    <x v="18"/>
    <x v="2"/>
    <n v="-150"/>
    <x v="2"/>
    <s v="Roth IRA Contribution"/>
    <s v="Checking"/>
  </r>
  <r>
    <x v="18"/>
    <x v="3"/>
    <n v="-100"/>
    <x v="3"/>
    <s v="HYSA Contribution"/>
    <s v="Checking"/>
  </r>
  <r>
    <x v="19"/>
    <x v="4"/>
    <n v="-48.6"/>
    <x v="0"/>
    <s v="Transportation"/>
    <s v="Credit Card"/>
  </r>
  <r>
    <x v="20"/>
    <x v="8"/>
    <n v="-24.99"/>
    <x v="0"/>
    <s v="Entertainment"/>
    <s v="Credit Card"/>
  </r>
  <r>
    <x v="21"/>
    <x v="6"/>
    <n v="-16.2"/>
    <x v="0"/>
    <s v="Dining Out"/>
    <s v="Credit Card"/>
  </r>
  <r>
    <x v="22"/>
    <x v="5"/>
    <n v="-44.38"/>
    <x v="0"/>
    <s v="Groceries"/>
    <s v="Credit Card"/>
  </r>
  <r>
    <x v="23"/>
    <x v="1"/>
    <n v="856.34"/>
    <x v="1"/>
    <s v="Employment Income"/>
    <s v="Checking"/>
  </r>
  <r>
    <x v="23"/>
    <x v="2"/>
    <n v="-150"/>
    <x v="2"/>
    <s v="Roth IRA Contribution"/>
    <s v="Checking"/>
  </r>
  <r>
    <x v="23"/>
    <x v="3"/>
    <n v="-100"/>
    <x v="3"/>
    <s v="HYSA Contribution"/>
    <s v="Checking"/>
  </r>
  <r>
    <x v="24"/>
    <x v="0"/>
    <n v="-65"/>
    <x v="0"/>
    <s v="Phone"/>
    <s v="Checking"/>
  </r>
  <r>
    <x v="25"/>
    <x v="4"/>
    <n v="-96.18"/>
    <x v="0"/>
    <s v="Transportation"/>
    <s v="Credit Card"/>
  </r>
  <r>
    <x v="26"/>
    <x v="5"/>
    <n v="-43.76"/>
    <x v="0"/>
    <s v="Groceries"/>
    <s v="Credit Card"/>
  </r>
  <r>
    <x v="27"/>
    <x v="6"/>
    <n v="-42.35"/>
    <x v="0"/>
    <s v="Dining Out"/>
    <s v="Credit Card"/>
  </r>
  <r>
    <x v="28"/>
    <x v="7"/>
    <n v="-29.12"/>
    <x v="0"/>
    <s v="Personal"/>
    <s v="Credit Card"/>
  </r>
  <r>
    <x v="29"/>
    <x v="1"/>
    <n v="847.89"/>
    <x v="1"/>
    <s v="Employment Income"/>
    <s v="Checking"/>
  </r>
  <r>
    <x v="29"/>
    <x v="2"/>
    <n v="-150"/>
    <x v="2"/>
    <s v="Roth IRA Contribution"/>
    <s v="Checking"/>
  </r>
  <r>
    <x v="29"/>
    <x v="3"/>
    <n v="-100"/>
    <x v="3"/>
    <s v="HYSA Contribution"/>
    <s v="Checking"/>
  </r>
  <r>
    <x v="30"/>
    <x v="4"/>
    <n v="-61.4"/>
    <x v="0"/>
    <s v="Transportation"/>
    <s v="Credit Card"/>
  </r>
  <r>
    <x v="31"/>
    <x v="8"/>
    <n v="-24.99"/>
    <x v="0"/>
    <s v="Entertainment"/>
    <s v="Credit Card"/>
  </r>
  <r>
    <x v="32"/>
    <x v="10"/>
    <n v="-84.32"/>
    <x v="0"/>
    <s v="Education"/>
    <s v="Credit Card"/>
  </r>
  <r>
    <x v="33"/>
    <x v="6"/>
    <n v="-20.55"/>
    <x v="0"/>
    <s v="Dining Out"/>
    <s v="Credit Card"/>
  </r>
  <r>
    <x v="34"/>
    <x v="5"/>
    <n v="-39.840000000000003"/>
    <x v="0"/>
    <s v="Groceries"/>
    <s v="Credit Card"/>
  </r>
  <r>
    <x v="35"/>
    <x v="1"/>
    <n v="882.15"/>
    <x v="1"/>
    <s v="Employment Income"/>
    <s v="Checking"/>
  </r>
  <r>
    <x v="35"/>
    <x v="2"/>
    <n v="-150"/>
    <x v="2"/>
    <s v="Roth IRA Contribution"/>
    <s v="Checking"/>
  </r>
  <r>
    <x v="35"/>
    <x v="3"/>
    <n v="-100"/>
    <x v="3"/>
    <s v="HYSA Contribution"/>
    <s v="Checking"/>
  </r>
  <r>
    <x v="36"/>
    <x v="0"/>
    <n v="-65"/>
    <x v="0"/>
    <s v="Phone"/>
    <s v="Checking"/>
  </r>
  <r>
    <x v="37"/>
    <x v="4"/>
    <n v="-90.36"/>
    <x v="0"/>
    <s v="Transportation"/>
    <s v="Credit Card"/>
  </r>
  <r>
    <x v="38"/>
    <x v="5"/>
    <n v="-49.88"/>
    <x v="0"/>
    <s v="Groceries"/>
    <s v="Credit Card"/>
  </r>
  <r>
    <x v="39"/>
    <x v="6"/>
    <n v="-37.6"/>
    <x v="0"/>
    <s v="Dining Out"/>
    <s v="Credit Card"/>
  </r>
  <r>
    <x v="40"/>
    <x v="1"/>
    <n v="858.6"/>
    <x v="1"/>
    <s v="Employment Income"/>
    <s v="Checking"/>
  </r>
  <r>
    <x v="40"/>
    <x v="2"/>
    <n v="-150"/>
    <x v="2"/>
    <s v="Roth IRA Contribution"/>
    <s v="Checking"/>
  </r>
  <r>
    <x v="40"/>
    <x v="3"/>
    <n v="-100"/>
    <x v="3"/>
    <s v="HYSA Contribution"/>
    <s v="Checking"/>
  </r>
  <r>
    <x v="41"/>
    <x v="7"/>
    <n v="-33.25"/>
    <x v="0"/>
    <s v="Personal"/>
    <s v="Credit Card"/>
  </r>
  <r>
    <x v="42"/>
    <x v="4"/>
    <n v="-53.72"/>
    <x v="0"/>
    <s v="Transportation"/>
    <s v="Credit Card"/>
  </r>
  <r>
    <x v="43"/>
    <x v="8"/>
    <n v="-24.99"/>
    <x v="0"/>
    <s v="Entertainment"/>
    <s v="Credit Card"/>
  </r>
  <r>
    <x v="44"/>
    <x v="6"/>
    <n v="-15.9"/>
    <x v="0"/>
    <s v="Dining Out"/>
    <s v="Credit Card"/>
  </r>
  <r>
    <x v="45"/>
    <x v="1"/>
    <n v="839.47"/>
    <x v="1"/>
    <s v="Employment Income"/>
    <s v="Checking"/>
  </r>
  <r>
    <x v="45"/>
    <x v="2"/>
    <n v="-150"/>
    <x v="2"/>
    <s v="Roth IRA Contribution"/>
    <s v="Checking"/>
  </r>
  <r>
    <x v="45"/>
    <x v="3"/>
    <n v="-100"/>
    <x v="3"/>
    <s v="HYSA Contribution"/>
    <s v="Checking"/>
  </r>
  <r>
    <x v="46"/>
    <x v="5"/>
    <n v="-46.27"/>
    <x v="0"/>
    <s v="Groceries"/>
    <s v="Credit Card"/>
  </r>
  <r>
    <x v="47"/>
    <x v="0"/>
    <n v="-65"/>
    <x v="0"/>
    <s v="Phone"/>
    <s v="Checking"/>
  </r>
  <r>
    <x v="48"/>
    <x v="4"/>
    <n v="-101.52"/>
    <x v="0"/>
    <s v="Transportation"/>
    <s v="Credit Card"/>
  </r>
  <r>
    <x v="49"/>
    <x v="5"/>
    <n v="-54.1"/>
    <x v="0"/>
    <s v="Groceries"/>
    <s v="Credit Card"/>
  </r>
  <r>
    <x v="50"/>
    <x v="6"/>
    <n v="-40.799999999999997"/>
    <x v="0"/>
    <s v="Dining Out"/>
    <s v="Credit Card"/>
  </r>
  <r>
    <x v="50"/>
    <x v="1"/>
    <n v="875.22"/>
    <x v="1"/>
    <s v="Employment Income"/>
    <s v="Checking"/>
  </r>
  <r>
    <x v="50"/>
    <x v="2"/>
    <n v="-150"/>
    <x v="2"/>
    <s v="Roth IRA Contribution"/>
    <s v="Checking"/>
  </r>
  <r>
    <x v="50"/>
    <x v="3"/>
    <n v="-100"/>
    <x v="3"/>
    <s v="HYSA Contribution"/>
    <s v="Checking"/>
  </r>
  <r>
    <x v="51"/>
    <x v="7"/>
    <n v="-28.75"/>
    <x v="0"/>
    <s v="Personal"/>
    <s v="Credit Card"/>
  </r>
  <r>
    <x v="52"/>
    <x v="4"/>
    <n v="-58.36"/>
    <x v="0"/>
    <s v="Transportation"/>
    <s v="Credit Card"/>
  </r>
  <r>
    <x v="53"/>
    <x v="11"/>
    <n v="75"/>
    <x v="1"/>
    <s v="Other Income"/>
    <s v="Checking"/>
  </r>
  <r>
    <x v="54"/>
    <x v="8"/>
    <n v="-24.99"/>
    <x v="0"/>
    <s v="Entertainment"/>
    <s v="Credit Card"/>
  </r>
  <r>
    <x v="55"/>
    <x v="6"/>
    <n v="-22.4"/>
    <x v="0"/>
    <s v="Dining Out"/>
    <s v="Credit Card"/>
  </r>
  <r>
    <x v="56"/>
    <x v="1"/>
    <n v="864.91"/>
    <x v="1"/>
    <s v="Employment Income"/>
    <s v="Checking"/>
  </r>
  <r>
    <x v="56"/>
    <x v="2"/>
    <n v="-150"/>
    <x v="2"/>
    <s v="Roth IRA Contribution"/>
    <s v="Checking"/>
  </r>
  <r>
    <x v="56"/>
    <x v="3"/>
    <n v="-100"/>
    <x v="3"/>
    <s v="HYSA Contribution"/>
    <s v="Checking"/>
  </r>
  <r>
    <x v="57"/>
    <x v="5"/>
    <n v="-43.19"/>
    <x v="0"/>
    <s v="Groceries"/>
    <s v="Credit Card"/>
  </r>
  <r>
    <x v="58"/>
    <x v="0"/>
    <n v="-65"/>
    <x v="0"/>
    <s v="Phone"/>
    <s v="Checking"/>
  </r>
  <r>
    <x v="59"/>
    <x v="4"/>
    <n v="-94.25"/>
    <x v="0"/>
    <s v="Transportation"/>
    <s v="Credit Card"/>
  </r>
  <r>
    <x v="60"/>
    <x v="5"/>
    <n v="-47.36"/>
    <x v="0"/>
    <s v="Groceries"/>
    <s v="Credit Card"/>
  </r>
  <r>
    <x v="60"/>
    <x v="1"/>
    <n v="851.36"/>
    <x v="1"/>
    <s v="Employment Income"/>
    <s v="Checking"/>
  </r>
  <r>
    <x v="60"/>
    <x v="2"/>
    <n v="-150"/>
    <x v="2"/>
    <s v="Roth IRA Contribution"/>
    <s v="Checking"/>
  </r>
  <r>
    <x v="60"/>
    <x v="3"/>
    <n v="-100"/>
    <x v="3"/>
    <s v="HYSA Contribution"/>
    <s v="Checking"/>
  </r>
  <r>
    <x v="61"/>
    <x v="12"/>
    <n v="150"/>
    <x v="1"/>
    <s v="Gifts Received"/>
    <s v="Checking"/>
  </r>
  <r>
    <x v="61"/>
    <x v="6"/>
    <n v="-36.450000000000003"/>
    <x v="0"/>
    <s v="Dining Out"/>
    <s v="Credit Card"/>
  </r>
  <r>
    <x v="62"/>
    <x v="7"/>
    <n v="-35.18"/>
    <x v="0"/>
    <s v="Personal"/>
    <s v="Credit Card"/>
  </r>
  <r>
    <x v="63"/>
    <x v="4"/>
    <n v="-63.9"/>
    <x v="0"/>
    <s v="Transportation"/>
    <s v="Credit Card"/>
  </r>
  <r>
    <x v="64"/>
    <x v="8"/>
    <n v="-24.99"/>
    <x v="0"/>
    <s v="Entertainment"/>
    <s v="Credit Card"/>
  </r>
  <r>
    <x v="65"/>
    <x v="1"/>
    <n v="889.04"/>
    <x v="1"/>
    <s v="Employment Income"/>
    <s v="Checking"/>
  </r>
  <r>
    <x v="65"/>
    <x v="2"/>
    <n v="-150"/>
    <x v="2"/>
    <s v="Roth IRA Contribution"/>
    <s v="Checking"/>
  </r>
  <r>
    <x v="65"/>
    <x v="3"/>
    <n v="-100"/>
    <x v="3"/>
    <s v="HYSA Contribution"/>
    <s v="Checking"/>
  </r>
  <r>
    <x v="66"/>
    <x v="6"/>
    <n v="-19.8"/>
    <x v="0"/>
    <s v="Dining Out"/>
    <s v="Credit Card"/>
  </r>
  <r>
    <x v="67"/>
    <x v="5"/>
    <n v="-48.62"/>
    <x v="0"/>
    <s v="Groceries"/>
    <s v="Credit Card"/>
  </r>
  <r>
    <x v="68"/>
    <x v="0"/>
    <n v="-65"/>
    <x v="0"/>
    <s v="Phone"/>
    <s v="Checking"/>
  </r>
  <r>
    <x v="69"/>
    <x v="4"/>
    <n v="-98.84"/>
    <x v="0"/>
    <s v="Transportation"/>
    <s v="Credit Card"/>
  </r>
  <r>
    <x v="69"/>
    <x v="1"/>
    <n v="846.73"/>
    <x v="1"/>
    <s v="Employment Income"/>
    <s v="Checking"/>
  </r>
  <r>
    <x v="69"/>
    <x v="2"/>
    <n v="-150"/>
    <x v="2"/>
    <s v="Roth IRA Contribution"/>
    <s v="Checking"/>
  </r>
  <r>
    <x v="69"/>
    <x v="3"/>
    <n v="-100"/>
    <x v="3"/>
    <s v="HYSA Contribution"/>
    <s v="Checking"/>
  </r>
  <r>
    <x v="70"/>
    <x v="5"/>
    <n v="-52.68"/>
    <x v="0"/>
    <s v="Groceries"/>
    <s v="Credit Card"/>
  </r>
  <r>
    <x v="71"/>
    <x v="6"/>
    <n v="-44.2"/>
    <x v="0"/>
    <s v="Dining Out"/>
    <s v="Credit Card"/>
  </r>
  <r>
    <x v="72"/>
    <x v="13"/>
    <n v="-176.8"/>
    <x v="0"/>
    <s v="Transportation"/>
    <s v="Credit Card"/>
  </r>
  <r>
    <x v="73"/>
    <x v="7"/>
    <n v="-30.56"/>
    <x v="0"/>
    <s v="Personal"/>
    <s v="Credit Card"/>
  </r>
  <r>
    <x v="74"/>
    <x v="4"/>
    <n v="-59.45"/>
    <x v="0"/>
    <s v="Transportation"/>
    <s v="Credit Card"/>
  </r>
  <r>
    <x v="75"/>
    <x v="1"/>
    <n v="871.58"/>
    <x v="1"/>
    <s v="Employment Income"/>
    <s v="Checking"/>
  </r>
  <r>
    <x v="75"/>
    <x v="2"/>
    <n v="-150"/>
    <x v="2"/>
    <s v="Roth IRA Contribution"/>
    <s v="Checking"/>
  </r>
  <r>
    <x v="75"/>
    <x v="3"/>
    <n v="-100"/>
    <x v="3"/>
    <s v="HYSA Contribution"/>
    <s v="Checking"/>
  </r>
  <r>
    <x v="76"/>
    <x v="8"/>
    <n v="-24.99"/>
    <x v="0"/>
    <s v="Entertainment"/>
    <s v="Credit Card"/>
  </r>
  <r>
    <x v="77"/>
    <x v="6"/>
    <n v="-21.35"/>
    <x v="0"/>
    <s v="Dining Out"/>
    <s v="Credit Card"/>
  </r>
  <r>
    <x v="78"/>
    <x v="5"/>
    <n v="-45.73"/>
    <x v="0"/>
    <s v="Groceries"/>
    <s v="Credit Card"/>
  </r>
  <r>
    <x v="79"/>
    <x v="1"/>
    <n v="857.2"/>
    <x v="1"/>
    <s v="Employment Income"/>
    <s v="Checking"/>
  </r>
  <r>
    <x v="79"/>
    <x v="2"/>
    <n v="-150"/>
    <x v="2"/>
    <s v="Roth IRA Contribution"/>
    <s v="Checking"/>
  </r>
  <r>
    <x v="79"/>
    <x v="3"/>
    <n v="-100"/>
    <x v="3"/>
    <s v="HYSA Contribution"/>
    <s v="Check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0F936-DC83-4A88-8AE6-DA804EE85F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8">
    <pivotField axis="axisRow" numFmtId="1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axis="axisRow" showAll="0">
      <items count="15">
        <item x="12"/>
        <item x="13"/>
        <item x="11"/>
        <item x="6"/>
        <item x="8"/>
        <item x="4"/>
        <item x="5"/>
        <item x="0"/>
        <item x="1"/>
        <item x="7"/>
        <item x="2"/>
        <item x="10"/>
        <item x="9"/>
        <item x="3"/>
        <item t="default"/>
      </items>
    </pivotField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7"/>
    <field x="6"/>
    <field x="0"/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" item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182C4-12EB-4E10-9836-3BA91622F33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8">
    <pivotField axis="axisRow" numFmtId="14" showAll="0">
      <items count="81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axis="axisRow" showAll="0">
      <items count="15">
        <item x="12"/>
        <item x="13"/>
        <item x="11"/>
        <item x="6"/>
        <item x="8"/>
        <item x="4"/>
        <item x="5"/>
        <item x="0"/>
        <item x="1"/>
        <item x="7"/>
        <item x="2"/>
        <item x="10"/>
        <item x="9"/>
        <item x="3"/>
        <item t="default"/>
      </items>
    </pivotField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7"/>
    <field x="6"/>
    <field x="0"/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" item="0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EB495-B0B7-41BB-A596-4C21CAAC6A3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8">
    <pivotField axis="axisRow" numFmtId="1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axis="axisRow" showAll="0">
      <items count="15">
        <item x="12"/>
        <item x="13"/>
        <item x="11"/>
        <item x="6"/>
        <item x="8"/>
        <item x="4"/>
        <item x="5"/>
        <item x="0"/>
        <item x="1"/>
        <item x="7"/>
        <item x="2"/>
        <item x="10"/>
        <item x="9"/>
        <item x="3"/>
        <item t="default"/>
      </items>
    </pivotField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7"/>
    <field x="6"/>
    <field x="0"/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" item="3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94582-08A6-439B-9369-C0403C27E6F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8">
    <pivotField axis="axisRow" numFmtId="14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axis="axisRow" showAll="0">
      <items count="15">
        <item x="12"/>
        <item x="13"/>
        <item x="11"/>
        <item x="6"/>
        <item x="8"/>
        <item x="4"/>
        <item x="5"/>
        <item x="0"/>
        <item x="1"/>
        <item x="7"/>
        <item x="2"/>
        <item x="10"/>
        <item x="9"/>
        <item x="3"/>
        <item t="default"/>
      </items>
    </pivotField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7"/>
    <field x="6"/>
    <field x="0"/>
    <field x="1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3" item="2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BA6EA5-D9C8-47DA-8DC7-B274F3640B2E}" name="Table5" displayName="Table5" ref="A2:E12" totalsRowShown="0">
  <autoFilter ref="A2:E12" xr:uid="{0FBA6EA5-D9C8-47DA-8DC7-B274F3640B2E}"/>
  <tableColumns count="5">
    <tableColumn id="1" xr3:uid="{27E32E29-F36F-4150-B99D-F09900C9A755}" name="Category"/>
    <tableColumn id="2" xr3:uid="{A9F36267-1A2F-4789-BD11-AE7F89B3BDF0}" name="Budget"/>
    <tableColumn id="3" xr3:uid="{2EC4D927-A3F7-4FD9-B7F8-65C78AAF3943}" name="Actual" dataDxfId="13">
      <calculatedColumnFormula>SUMIFS(#REF!, #REF!, "Auto &amp; Transport", #REF!, $C$1)</calculatedColumnFormula>
    </tableColumn>
    <tableColumn id="4" xr3:uid="{D1997A74-3BDD-4356-A31E-6973D58EDA43}" name="Difference" dataDxfId="12">
      <calculatedColumnFormula>B3 - SUMIFS(#REF!, #REF!, A3, #REF!, MONTH(1&amp;$C$1))</calculatedColumnFormula>
    </tableColumn>
    <tableColumn id="5" xr3:uid="{942312DD-3D25-40AA-94B4-12B7D60F9579}" name="RollOv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2AB2A4-A087-49DF-828C-18BDDA7B3433}" name="Sample_Transactions" displayName="Sample_Transactions" ref="A1:H117" totalsRowShown="0">
  <autoFilter ref="A1:H117" xr:uid="{6C2AB2A4-A087-49DF-828C-18BDDA7B3433}"/>
  <tableColumns count="8">
    <tableColumn id="1" xr3:uid="{67DA2300-2F42-43F4-AFE2-F0E9DFAED1E6}" name="Date" dataDxfId="11"/>
    <tableColumn id="2" xr3:uid="{20AECAE8-3270-4FD9-A4A6-EC11FD4C179B}" name="Description" dataDxfId="10"/>
    <tableColumn id="3" xr3:uid="{4F1A979E-55CF-4DF0-9A39-CADA8CF33F5E}" name="Amount"/>
    <tableColumn id="4" xr3:uid="{8F4C7E26-7AF0-411E-B509-A09BF1502A14}" name="Transaction Type" dataDxfId="9"/>
    <tableColumn id="5" xr3:uid="{B2EBF3DD-C39D-426A-89E3-C3D9B96D1C23}" name="Category" dataDxfId="8"/>
    <tableColumn id="6" xr3:uid="{06DB8CCB-A611-4ABF-8546-C197AA96896F}" name="Account" dataDxfId="7"/>
    <tableColumn id="7" xr3:uid="{759BE69B-D151-40A8-B226-FC2153CE77C6}" name="Month Name" dataDxfId="6"/>
    <tableColumn id="8" xr3:uid="{19EB2B0D-D770-4581-B5DE-CC3C7F1BE40C}" name="Month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6E44-871A-4598-A907-270D625E55C1}">
  <dimension ref="A1:B11"/>
  <sheetViews>
    <sheetView tabSelected="1" workbookViewId="0">
      <selection activeCell="A4" sqref="A4"/>
    </sheetView>
  </sheetViews>
  <sheetFormatPr defaultRowHeight="15" x14ac:dyDescent="0.25"/>
  <cols>
    <col min="1" max="1" width="16.140625" bestFit="1" customWidth="1"/>
    <col min="2" max="2" width="14.85546875" bestFit="1" customWidth="1"/>
    <col min="3" max="4" width="9.42578125" bestFit="1" customWidth="1"/>
    <col min="5" max="5" width="8.42578125" bestFit="1" customWidth="1"/>
    <col min="6" max="11" width="9.42578125" bestFit="1" customWidth="1"/>
    <col min="12" max="12" width="8.42578125" bestFit="1" customWidth="1"/>
    <col min="13" max="14" width="9.42578125" bestFit="1" customWidth="1"/>
    <col min="15" max="16" width="8.42578125" bestFit="1" customWidth="1"/>
    <col min="17" max="17" width="9.42578125" bestFit="1" customWidth="1"/>
    <col min="18" max="18" width="8.42578125" bestFit="1" customWidth="1"/>
    <col min="19" max="20" width="9.42578125" bestFit="1" customWidth="1"/>
    <col min="21" max="21" width="11.28515625" bestFit="1" customWidth="1"/>
    <col min="22" max="22" width="8.42578125" bestFit="1" customWidth="1"/>
    <col min="23" max="23" width="12.140625" bestFit="1" customWidth="1"/>
    <col min="24" max="24" width="10" bestFit="1" customWidth="1"/>
    <col min="25" max="25" width="24.5703125" bestFit="1" customWidth="1"/>
    <col min="26" max="26" width="12.7109375" bestFit="1" customWidth="1"/>
    <col min="27" max="27" width="21" bestFit="1" customWidth="1"/>
    <col min="28" max="28" width="8.7109375" bestFit="1" customWidth="1"/>
    <col min="29" max="29" width="10.5703125" bestFit="1" customWidth="1"/>
    <col min="30" max="30" width="13.28515625" bestFit="1" customWidth="1"/>
    <col min="31" max="31" width="11" bestFit="1" customWidth="1"/>
    <col min="32" max="32" width="11.140625" bestFit="1" customWidth="1"/>
    <col min="33" max="33" width="16.28515625" bestFit="1" customWidth="1"/>
    <col min="34" max="34" width="5.7109375" bestFit="1" customWidth="1"/>
    <col min="35" max="35" width="17.42578125" bestFit="1" customWidth="1"/>
    <col min="36" max="36" width="24" bestFit="1" customWidth="1"/>
    <col min="37" max="37" width="9.7109375" bestFit="1" customWidth="1"/>
    <col min="38" max="38" width="61" bestFit="1" customWidth="1"/>
    <col min="39" max="39" width="12.7109375" bestFit="1" customWidth="1"/>
    <col min="40" max="40" width="12.28515625" bestFit="1" customWidth="1"/>
    <col min="41" max="41" width="10.85546875" bestFit="1" customWidth="1"/>
    <col min="42" max="42" width="21.85546875" bestFit="1" customWidth="1"/>
    <col min="43" max="43" width="11.140625" bestFit="1" customWidth="1"/>
    <col min="44" max="44" width="19.42578125" bestFit="1" customWidth="1"/>
    <col min="45" max="45" width="11" bestFit="1" customWidth="1"/>
    <col min="46" max="46" width="20.85546875" bestFit="1" customWidth="1"/>
    <col min="47" max="47" width="11.42578125" bestFit="1" customWidth="1"/>
    <col min="48" max="48" width="13.5703125" bestFit="1" customWidth="1"/>
    <col min="49" max="49" width="12.5703125" bestFit="1" customWidth="1"/>
    <col min="50" max="50" width="34.5703125" bestFit="1" customWidth="1"/>
    <col min="51" max="51" width="18.5703125" bestFit="1" customWidth="1"/>
    <col min="52" max="52" width="12.7109375" bestFit="1" customWidth="1"/>
    <col min="53" max="53" width="17" bestFit="1" customWidth="1"/>
    <col min="54" max="54" width="14.140625" bestFit="1" customWidth="1"/>
    <col min="55" max="55" width="30.5703125" bestFit="1" customWidth="1"/>
    <col min="56" max="56" width="19.7109375" bestFit="1" customWidth="1"/>
    <col min="57" max="57" width="11.140625" bestFit="1" customWidth="1"/>
    <col min="58" max="58" width="6.7109375" bestFit="1" customWidth="1"/>
    <col min="59" max="59" width="18.5703125" bestFit="1" customWidth="1"/>
    <col min="60" max="60" width="7.7109375" bestFit="1" customWidth="1"/>
    <col min="61" max="61" width="6.7109375" bestFit="1" customWidth="1"/>
    <col min="62" max="62" width="10.140625" bestFit="1" customWidth="1"/>
    <col min="63" max="63" width="21.85546875" bestFit="1" customWidth="1"/>
    <col min="64" max="64" width="6.7109375" bestFit="1" customWidth="1"/>
    <col min="65" max="65" width="16.28515625" bestFit="1" customWidth="1"/>
    <col min="66" max="66" width="11.7109375" bestFit="1" customWidth="1"/>
    <col min="67" max="67" width="23.42578125" bestFit="1" customWidth="1"/>
    <col min="68" max="68" width="6.85546875" bestFit="1" customWidth="1"/>
    <col min="69" max="69" width="24.85546875" bestFit="1" customWidth="1"/>
    <col min="70" max="70" width="8.5703125" bestFit="1" customWidth="1"/>
    <col min="71" max="71" width="11.85546875" bestFit="1" customWidth="1"/>
    <col min="72" max="72" width="29.42578125" bestFit="1" customWidth="1"/>
    <col min="73" max="73" width="12.5703125" bestFit="1" customWidth="1"/>
    <col min="74" max="74" width="13.42578125" bestFit="1" customWidth="1"/>
    <col min="75" max="75" width="20" bestFit="1" customWidth="1"/>
    <col min="76" max="76" width="13.7109375" bestFit="1" customWidth="1"/>
    <col min="77" max="77" width="11.28515625" bestFit="1" customWidth="1"/>
    <col min="78" max="78" width="14.7109375" bestFit="1" customWidth="1"/>
    <col min="79" max="79" width="62.85546875" bestFit="1" customWidth="1"/>
    <col min="80" max="80" width="66" bestFit="1" customWidth="1"/>
    <col min="81" max="81" width="14.5703125" bestFit="1" customWidth="1"/>
    <col min="82" max="82" width="17.85546875" bestFit="1" customWidth="1"/>
    <col min="83" max="83" width="14.140625" bestFit="1" customWidth="1"/>
    <col min="84" max="84" width="17.42578125" bestFit="1" customWidth="1"/>
    <col min="85" max="85" width="12.7109375" bestFit="1" customWidth="1"/>
    <col min="86" max="86" width="15.85546875" bestFit="1" customWidth="1"/>
    <col min="87" max="87" width="23.7109375" bestFit="1" customWidth="1"/>
    <col min="88" max="88" width="26.85546875" bestFit="1" customWidth="1"/>
    <col min="89" max="89" width="13" bestFit="1" customWidth="1"/>
    <col min="90" max="90" width="16.140625" bestFit="1" customWidth="1"/>
    <col min="91" max="91" width="21.28515625" bestFit="1" customWidth="1"/>
    <col min="92" max="92" width="24.42578125" bestFit="1" customWidth="1"/>
    <col min="93" max="93" width="12.85546875" bestFit="1" customWidth="1"/>
    <col min="94" max="94" width="16" bestFit="1" customWidth="1"/>
    <col min="95" max="95" width="22.7109375" bestFit="1" customWidth="1"/>
    <col min="96" max="96" width="26" bestFit="1" customWidth="1"/>
    <col min="97" max="97" width="13.28515625" bestFit="1" customWidth="1"/>
    <col min="98" max="98" width="16.42578125" bestFit="1" customWidth="1"/>
    <col min="99" max="99" width="15.42578125" bestFit="1" customWidth="1"/>
    <col min="100" max="100" width="18.5703125" bestFit="1" customWidth="1"/>
    <col min="101" max="101" width="14.42578125" bestFit="1" customWidth="1"/>
    <col min="102" max="102" width="17.7109375" bestFit="1" customWidth="1"/>
    <col min="103" max="103" width="36.42578125" bestFit="1" customWidth="1"/>
    <col min="104" max="104" width="39.5703125" bestFit="1" customWidth="1"/>
    <col min="105" max="105" width="20.42578125" bestFit="1" customWidth="1"/>
    <col min="106" max="106" width="23.5703125" bestFit="1" customWidth="1"/>
    <col min="107" max="107" width="14.5703125" bestFit="1" customWidth="1"/>
    <col min="108" max="108" width="17.85546875" bestFit="1" customWidth="1"/>
    <col min="109" max="109" width="18.85546875" bestFit="1" customWidth="1"/>
    <col min="110" max="110" width="22.140625" bestFit="1" customWidth="1"/>
    <col min="111" max="111" width="16" bestFit="1" customWidth="1"/>
    <col min="112" max="112" width="19.140625" bestFit="1" customWidth="1"/>
    <col min="113" max="113" width="32.42578125" bestFit="1" customWidth="1"/>
    <col min="114" max="114" width="35.5703125" bestFit="1" customWidth="1"/>
    <col min="115" max="115" width="21.5703125" bestFit="1" customWidth="1"/>
    <col min="116" max="116" width="24.7109375" bestFit="1" customWidth="1"/>
    <col min="117" max="117" width="13" bestFit="1" customWidth="1"/>
    <col min="118" max="118" width="16.140625" bestFit="1" customWidth="1"/>
    <col min="119" max="119" width="8.7109375" bestFit="1" customWidth="1"/>
    <col min="120" max="120" width="11.42578125" bestFit="1" customWidth="1"/>
    <col min="121" max="121" width="20.42578125" bestFit="1" customWidth="1"/>
    <col min="122" max="122" width="23.5703125" bestFit="1" customWidth="1"/>
    <col min="123" max="123" width="25.85546875" bestFit="1" customWidth="1"/>
    <col min="124" max="124" width="29" bestFit="1" customWidth="1"/>
    <col min="125" max="125" width="8.7109375" bestFit="1" customWidth="1"/>
    <col min="126" max="126" width="10.42578125" bestFit="1" customWidth="1"/>
    <col min="127" max="127" width="8.7109375" bestFit="1" customWidth="1"/>
    <col min="128" max="128" width="10.85546875" bestFit="1" customWidth="1"/>
    <col min="129" max="129" width="12" bestFit="1" customWidth="1"/>
    <col min="130" max="130" width="15.140625" bestFit="1" customWidth="1"/>
    <col min="131" max="131" width="23.7109375" bestFit="1" customWidth="1"/>
    <col min="132" max="132" width="26.85546875" bestFit="1" customWidth="1"/>
    <col min="133" max="133" width="8.7109375" bestFit="1" customWidth="1"/>
    <col min="134" max="134" width="11.42578125" bestFit="1" customWidth="1"/>
    <col min="135" max="135" width="18.140625" bestFit="1" customWidth="1"/>
    <col min="136" max="136" width="8" bestFit="1" customWidth="1"/>
    <col min="137" max="137" width="21.42578125" bestFit="1" customWidth="1"/>
    <col min="138" max="138" width="13.5703125" bestFit="1" customWidth="1"/>
    <col min="139" max="139" width="16.7109375" bestFit="1" customWidth="1"/>
    <col min="140" max="140" width="25.28515625" bestFit="1" customWidth="1"/>
    <col min="141" max="141" width="28.42578125" bestFit="1" customWidth="1"/>
    <col min="142" max="142" width="8.7109375" bestFit="1" customWidth="1"/>
    <col min="143" max="143" width="11.7109375" bestFit="1" customWidth="1"/>
    <col min="144" max="144" width="26.7109375" bestFit="1" customWidth="1"/>
    <col min="145" max="145" width="30" bestFit="1" customWidth="1"/>
    <col min="146" max="146" width="10.42578125" bestFit="1" customWidth="1"/>
    <col min="147" max="147" width="13.5703125" bestFit="1" customWidth="1"/>
    <col min="148" max="148" width="13.7109375" bestFit="1" customWidth="1"/>
    <col min="149" max="149" width="16.85546875" bestFit="1" customWidth="1"/>
    <col min="150" max="150" width="31.28515625" bestFit="1" customWidth="1"/>
    <col min="151" max="151" width="34.5703125" bestFit="1" customWidth="1"/>
    <col min="152" max="152" width="14.42578125" bestFit="1" customWidth="1"/>
    <col min="153" max="153" width="17.7109375" bestFit="1" customWidth="1"/>
    <col min="154" max="154" width="15.28515625" bestFit="1" customWidth="1"/>
    <col min="155" max="155" width="18.42578125" bestFit="1" customWidth="1"/>
    <col min="156" max="156" width="21.85546875" bestFit="1" customWidth="1"/>
    <col min="157" max="157" width="25" bestFit="1" customWidth="1"/>
    <col min="158" max="158" width="11.28515625" bestFit="1" customWidth="1"/>
  </cols>
  <sheetData>
    <row r="1" spans="1:2" x14ac:dyDescent="0.25">
      <c r="A1" s="2" t="s">
        <v>34</v>
      </c>
      <c r="B1" t="s">
        <v>3</v>
      </c>
    </row>
    <row r="3" spans="1:2" x14ac:dyDescent="0.25">
      <c r="A3" s="2" t="s">
        <v>9</v>
      </c>
      <c r="B3" t="s">
        <v>19</v>
      </c>
    </row>
    <row r="4" spans="1:2" x14ac:dyDescent="0.25">
      <c r="A4" s="3" t="s">
        <v>11</v>
      </c>
      <c r="B4">
        <v>2538.3599999999997</v>
      </c>
    </row>
    <row r="5" spans="1:2" x14ac:dyDescent="0.25">
      <c r="A5" s="3" t="s">
        <v>12</v>
      </c>
      <c r="B5">
        <v>2041.89</v>
      </c>
    </row>
    <row r="6" spans="1:2" x14ac:dyDescent="0.25">
      <c r="A6" s="3" t="s">
        <v>13</v>
      </c>
      <c r="B6">
        <v>1730.04</v>
      </c>
    </row>
    <row r="7" spans="1:2" x14ac:dyDescent="0.25">
      <c r="A7" s="3" t="s">
        <v>14</v>
      </c>
      <c r="B7">
        <v>1698.0700000000002</v>
      </c>
    </row>
    <row r="8" spans="1:2" x14ac:dyDescent="0.25">
      <c r="A8" s="3" t="s">
        <v>15</v>
      </c>
      <c r="B8">
        <v>1815.13</v>
      </c>
    </row>
    <row r="9" spans="1:2" x14ac:dyDescent="0.25">
      <c r="A9" s="3" t="s">
        <v>16</v>
      </c>
      <c r="B9">
        <v>1890.4</v>
      </c>
    </row>
    <row r="10" spans="1:2" x14ac:dyDescent="0.25">
      <c r="A10" s="3" t="s">
        <v>18</v>
      </c>
      <c r="B10">
        <v>2575.5100000000002</v>
      </c>
    </row>
    <row r="11" spans="1:2" x14ac:dyDescent="0.25">
      <c r="A11" s="3" t="s">
        <v>10</v>
      </c>
      <c r="B11">
        <v>14289.400000000001</v>
      </c>
    </row>
  </sheetData>
  <phoneticPr fontId="1" type="noConversion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A13F-BFAB-4E8B-9B87-847F3CB103DF}">
  <dimension ref="A1:B11"/>
  <sheetViews>
    <sheetView workbookViewId="0">
      <selection activeCell="A4" sqref="A4"/>
    </sheetView>
  </sheetViews>
  <sheetFormatPr defaultRowHeight="15" x14ac:dyDescent="0.25"/>
  <cols>
    <col min="1" max="1" width="16.140625" bestFit="1" customWidth="1"/>
    <col min="2" max="2" width="14.85546875" bestFit="1" customWidth="1"/>
    <col min="3" max="3" width="11.28515625" bestFit="1" customWidth="1"/>
    <col min="4" max="4" width="10.140625" customWidth="1"/>
    <col min="6" max="6" width="13.5703125" bestFit="1" customWidth="1"/>
    <col min="7" max="7" width="15.5703125" bestFit="1" customWidth="1"/>
    <col min="8" max="8" width="10.5703125" bestFit="1" customWidth="1"/>
    <col min="9" max="9" width="7.7109375" bestFit="1" customWidth="1"/>
    <col min="10" max="10" width="10.5703125" bestFit="1" customWidth="1"/>
    <col min="11" max="11" width="13.5703125" bestFit="1" customWidth="1"/>
    <col min="12" max="12" width="11.140625" bestFit="1" customWidth="1"/>
    <col min="13" max="13" width="9.7109375" bestFit="1" customWidth="1"/>
    <col min="14" max="14" width="13.42578125" bestFit="1" customWidth="1"/>
    <col min="15" max="15" width="12.5703125" bestFit="1" customWidth="1"/>
    <col min="16" max="16" width="12.85546875" bestFit="1" customWidth="1"/>
    <col min="17" max="17" width="8.7109375" bestFit="1" customWidth="1"/>
    <col min="18" max="18" width="16.5703125" bestFit="1" customWidth="1"/>
    <col min="19" max="19" width="24.85546875" bestFit="1" customWidth="1"/>
    <col min="20" max="20" width="25.28515625" bestFit="1" customWidth="1"/>
    <col min="21" max="21" width="10.5703125" bestFit="1" customWidth="1"/>
    <col min="22" max="22" width="9.7109375" bestFit="1" customWidth="1"/>
    <col min="23" max="23" width="8" bestFit="1" customWidth="1"/>
    <col min="24" max="24" width="21" bestFit="1" customWidth="1"/>
    <col min="25" max="25" width="23.140625" bestFit="1" customWidth="1"/>
    <col min="26" max="26" width="8.42578125" bestFit="1" customWidth="1"/>
    <col min="27" max="27" width="12.5703125" bestFit="1" customWidth="1"/>
    <col min="28" max="28" width="8.42578125" bestFit="1" customWidth="1"/>
    <col min="29" max="29" width="12.140625" bestFit="1" customWidth="1"/>
    <col min="30" max="30" width="10" bestFit="1" customWidth="1"/>
    <col min="31" max="31" width="24.5703125" bestFit="1" customWidth="1"/>
    <col min="32" max="32" width="12.7109375" bestFit="1" customWidth="1"/>
    <col min="33" max="33" width="21" bestFit="1" customWidth="1"/>
    <col min="34" max="34" width="8.7109375" bestFit="1" customWidth="1"/>
    <col min="35" max="35" width="10.5703125" bestFit="1" customWidth="1"/>
    <col min="36" max="36" width="13.28515625" bestFit="1" customWidth="1"/>
    <col min="37" max="37" width="11" bestFit="1" customWidth="1"/>
    <col min="38" max="38" width="11.140625" bestFit="1" customWidth="1"/>
    <col min="39" max="39" width="16.28515625" bestFit="1" customWidth="1"/>
    <col min="40" max="40" width="5.7109375" bestFit="1" customWidth="1"/>
    <col min="41" max="41" width="17.42578125" bestFit="1" customWidth="1"/>
    <col min="42" max="42" width="24" bestFit="1" customWidth="1"/>
    <col min="43" max="43" width="9.7109375" bestFit="1" customWidth="1"/>
    <col min="44" max="44" width="61" bestFit="1" customWidth="1"/>
    <col min="45" max="45" width="12.7109375" bestFit="1" customWidth="1"/>
    <col min="46" max="46" width="12.28515625" bestFit="1" customWidth="1"/>
    <col min="47" max="47" width="10.85546875" bestFit="1" customWidth="1"/>
    <col min="48" max="48" width="21.85546875" bestFit="1" customWidth="1"/>
    <col min="49" max="49" width="11.140625" bestFit="1" customWidth="1"/>
    <col min="50" max="50" width="19.42578125" bestFit="1" customWidth="1"/>
    <col min="51" max="51" width="11" bestFit="1" customWidth="1"/>
    <col min="52" max="52" width="20.85546875" bestFit="1" customWidth="1"/>
    <col min="53" max="53" width="11.42578125" bestFit="1" customWidth="1"/>
    <col min="54" max="54" width="13.5703125" bestFit="1" customWidth="1"/>
    <col min="55" max="55" width="12.5703125" bestFit="1" customWidth="1"/>
    <col min="56" max="56" width="34.5703125" bestFit="1" customWidth="1"/>
    <col min="57" max="57" width="18.5703125" bestFit="1" customWidth="1"/>
    <col min="58" max="58" width="12.7109375" bestFit="1" customWidth="1"/>
    <col min="59" max="59" width="17" bestFit="1" customWidth="1"/>
    <col min="60" max="60" width="14.140625" bestFit="1" customWidth="1"/>
    <col min="61" max="61" width="30.5703125" bestFit="1" customWidth="1"/>
    <col min="62" max="62" width="19.7109375" bestFit="1" customWidth="1"/>
    <col min="63" max="63" width="11.140625" bestFit="1" customWidth="1"/>
    <col min="64" max="64" width="6.7109375" bestFit="1" customWidth="1"/>
    <col min="65" max="65" width="18.5703125" bestFit="1" customWidth="1"/>
    <col min="66" max="66" width="7.7109375" bestFit="1" customWidth="1"/>
    <col min="67" max="67" width="6.7109375" bestFit="1" customWidth="1"/>
    <col min="68" max="68" width="10.140625" bestFit="1" customWidth="1"/>
    <col min="69" max="69" width="21.85546875" bestFit="1" customWidth="1"/>
    <col min="70" max="70" width="6.7109375" bestFit="1" customWidth="1"/>
    <col min="71" max="71" width="16.28515625" bestFit="1" customWidth="1"/>
    <col min="72" max="72" width="11.7109375" bestFit="1" customWidth="1"/>
    <col min="73" max="73" width="23.42578125" bestFit="1" customWidth="1"/>
    <col min="74" max="74" width="6.85546875" bestFit="1" customWidth="1"/>
    <col min="75" max="75" width="24.85546875" bestFit="1" customWidth="1"/>
    <col min="76" max="76" width="8.5703125" bestFit="1" customWidth="1"/>
    <col min="77" max="77" width="11.85546875" bestFit="1" customWidth="1"/>
    <col min="78" max="78" width="29.42578125" bestFit="1" customWidth="1"/>
    <col min="79" max="79" width="12.5703125" bestFit="1" customWidth="1"/>
    <col min="80" max="80" width="13.42578125" bestFit="1" customWidth="1"/>
    <col min="81" max="81" width="20" bestFit="1" customWidth="1"/>
    <col min="82" max="82" width="13.7109375" bestFit="1" customWidth="1"/>
    <col min="83" max="83" width="11.28515625" bestFit="1" customWidth="1"/>
    <col min="84" max="84" width="12.5703125" bestFit="1" customWidth="1"/>
    <col min="85" max="85" width="30.5703125" bestFit="1" customWidth="1"/>
    <col min="86" max="86" width="11.140625" bestFit="1" customWidth="1"/>
    <col min="87" max="87" width="6.7109375" bestFit="1" customWidth="1"/>
    <col min="88" max="88" width="16.28515625" bestFit="1" customWidth="1"/>
    <col min="89" max="89" width="11.7109375" bestFit="1" customWidth="1"/>
    <col min="90" max="90" width="8.5703125" bestFit="1" customWidth="1"/>
    <col min="91" max="91" width="14.42578125" bestFit="1" customWidth="1"/>
    <col min="92" max="92" width="18.42578125" bestFit="1" customWidth="1"/>
    <col min="93" max="94" width="11" bestFit="1" customWidth="1"/>
    <col min="95" max="95" width="8.7109375" bestFit="1" customWidth="1"/>
    <col min="96" max="96" width="14.140625" bestFit="1" customWidth="1"/>
    <col min="97" max="97" width="24.85546875" bestFit="1" customWidth="1"/>
    <col min="98" max="98" width="12.140625" bestFit="1" customWidth="1"/>
    <col min="99" max="99" width="11.28515625" bestFit="1" customWidth="1"/>
  </cols>
  <sheetData>
    <row r="1" spans="1:2" x14ac:dyDescent="0.25">
      <c r="A1" s="2" t="s">
        <v>34</v>
      </c>
      <c r="B1" t="s">
        <v>0</v>
      </c>
    </row>
    <row r="3" spans="1:2" x14ac:dyDescent="0.25">
      <c r="A3" s="2" t="s">
        <v>9</v>
      </c>
      <c r="B3" t="s">
        <v>19</v>
      </c>
    </row>
    <row r="4" spans="1:2" x14ac:dyDescent="0.25">
      <c r="A4" s="3" t="s">
        <v>11</v>
      </c>
      <c r="B4">
        <v>-410.30999999999995</v>
      </c>
    </row>
    <row r="5" spans="1:2" x14ac:dyDescent="0.25">
      <c r="A5" s="3" t="s">
        <v>12</v>
      </c>
      <c r="B5">
        <v>-406.49</v>
      </c>
    </row>
    <row r="6" spans="1:2" x14ac:dyDescent="0.25">
      <c r="A6" s="3" t="s">
        <v>13</v>
      </c>
      <c r="B6">
        <v>-507.51</v>
      </c>
    </row>
    <row r="7" spans="1:2" x14ac:dyDescent="0.25">
      <c r="A7" s="3" t="s">
        <v>14</v>
      </c>
      <c r="B7">
        <v>-416.97</v>
      </c>
    </row>
    <row r="8" spans="1:2" x14ac:dyDescent="0.25">
      <c r="A8" s="3" t="s">
        <v>15</v>
      </c>
      <c r="B8">
        <v>-439.11</v>
      </c>
    </row>
    <row r="9" spans="1:2" x14ac:dyDescent="0.25">
      <c r="A9" s="3" t="s">
        <v>16</v>
      </c>
      <c r="B9">
        <v>-435.55</v>
      </c>
    </row>
    <row r="10" spans="1:2" x14ac:dyDescent="0.25">
      <c r="A10" s="3" t="s">
        <v>18</v>
      </c>
      <c r="B10">
        <v>-619.6</v>
      </c>
    </row>
    <row r="11" spans="1:2" x14ac:dyDescent="0.25">
      <c r="A11" s="3" t="s">
        <v>10</v>
      </c>
      <c r="B11">
        <v>-3235.54</v>
      </c>
    </row>
  </sheetData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2C4006-864B-484B-8471-776A3B103B19}">
          <x14:formula1>
            <xm:f>#REF!</xm:f>
          </x14:formula1>
          <xm:sqref>B101:B205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BE5C-D275-45FF-8606-C610A52F4302}">
  <dimension ref="A1:E12"/>
  <sheetViews>
    <sheetView workbookViewId="0">
      <selection activeCell="E12" sqref="E12"/>
    </sheetView>
  </sheetViews>
  <sheetFormatPr defaultRowHeight="15" x14ac:dyDescent="0.25"/>
  <cols>
    <col min="1" max="4" width="11.28515625" customWidth="1"/>
  </cols>
  <sheetData>
    <row r="1" spans="1:5" x14ac:dyDescent="0.25">
      <c r="C1" t="s">
        <v>25</v>
      </c>
    </row>
    <row r="2" spans="1:5" x14ac:dyDescent="0.25">
      <c r="A2" t="s">
        <v>17</v>
      </c>
      <c r="B2" t="s">
        <v>22</v>
      </c>
      <c r="C2" t="s">
        <v>23</v>
      </c>
      <c r="D2" t="s">
        <v>24</v>
      </c>
      <c r="E2" t="s">
        <v>32</v>
      </c>
    </row>
    <row r="3" spans="1:5" x14ac:dyDescent="0.25">
      <c r="A3" t="s">
        <v>37</v>
      </c>
      <c r="B3">
        <v>65</v>
      </c>
      <c r="C3">
        <f>SUMIFS(Sample_Transactions[Amount], Sample_Transactions[Category], A3, Sample_Transactions[Month Name], $C$1)</f>
        <v>65</v>
      </c>
      <c r="D3">
        <f>B3 - SUMIFS(Sample_Transactions[Amount], Sample_Transactions[Category], A3, Sample_Transactions[Month], MONTH(1&amp;$C$1))</f>
        <v>0</v>
      </c>
      <c r="E3">
        <f>(B3 * MONTH(1&amp;$C$1))-SUMIFS(Sample_Transactions[Amount], Sample_Transactions[Category], A3, Sample_Transactions[Month], "&lt;=" &amp; MONTH(1&amp;$C$1))</f>
        <v>0</v>
      </c>
    </row>
    <row r="4" spans="1:5" x14ac:dyDescent="0.25">
      <c r="A4" t="s">
        <v>45</v>
      </c>
      <c r="B4">
        <v>180</v>
      </c>
      <c r="C4">
        <f>SUMIFS(Sample_Transactions[Amount], Sample_Transactions[Category], A4, Sample_Transactions[Month Name], $C$1)</f>
        <v>147.75</v>
      </c>
      <c r="D4">
        <f>B4 - SUMIFS(Sample_Transactions[Amount], Sample_Transactions[Category], A4, Sample_Transactions[Month], MONTH(1&amp;$C$1))</f>
        <v>32.25</v>
      </c>
      <c r="E4">
        <f>(B4 * MONTH(1&amp;$C$1))-SUMIFS(Sample_Transactions[Amount], Sample_Transactions[Category], A4, Sample_Transactions[Month], "&lt;=" &amp; MONTH(1&amp;$C$1))</f>
        <v>32.25</v>
      </c>
    </row>
    <row r="5" spans="1:5" x14ac:dyDescent="0.25">
      <c r="A5" t="s">
        <v>7</v>
      </c>
      <c r="B5">
        <v>100</v>
      </c>
      <c r="C5">
        <f>SUMIFS(Sample_Transactions[Amount], Sample_Transactions[Category], A5, Sample_Transactions[Month Name], $C$1)</f>
        <v>87.97999999999999</v>
      </c>
      <c r="D5">
        <f>B5 - SUMIFS(Sample_Transactions[Amount], Sample_Transactions[Category], A5, Sample_Transactions[Month], MONTH(1&amp;$C$1))</f>
        <v>12.02000000000001</v>
      </c>
      <c r="E5">
        <f>(B5 * MONTH(1&amp;$C$1))-SUMIFS(Sample_Transactions[Amount], Sample_Transactions[Category], A5, Sample_Transactions[Month], "&lt;=" &amp; MONTH(1&amp;$C$1))</f>
        <v>12.02000000000001</v>
      </c>
    </row>
    <row r="6" spans="1:5" x14ac:dyDescent="0.25">
      <c r="A6" t="s">
        <v>48</v>
      </c>
      <c r="B6">
        <v>70</v>
      </c>
      <c r="C6">
        <f>SUMIFS(Sample_Transactions[Amount], Sample_Transactions[Category], A6, Sample_Transactions[Month Name], $C$1)</f>
        <v>56.95</v>
      </c>
      <c r="D6">
        <f>B6 - SUMIFS(Sample_Transactions[Amount], Sample_Transactions[Category], A6, Sample_Transactions[Month], MONTH(1&amp;$C$1))</f>
        <v>13.049999999999997</v>
      </c>
      <c r="E6">
        <f>(B6 * MONTH(1&amp;$C$1))-SUMIFS(Sample_Transactions[Amount], Sample_Transactions[Category], A6, Sample_Transactions[Month], "&lt;=" &amp; MONTH(1&amp;$C$1))</f>
        <v>13.049999999999997</v>
      </c>
    </row>
    <row r="7" spans="1:5" x14ac:dyDescent="0.25">
      <c r="A7" t="s">
        <v>50</v>
      </c>
      <c r="B7">
        <v>40</v>
      </c>
      <c r="C7">
        <f>SUMIFS(Sample_Transactions[Amount], Sample_Transactions[Category], A7, Sample_Transactions[Month Name], $C$1)</f>
        <v>27.64</v>
      </c>
      <c r="D7">
        <f>B7 - SUMIFS(Sample_Transactions[Amount], Sample_Transactions[Category], A7, Sample_Transactions[Month], MONTH(1&amp;$C$1))</f>
        <v>12.36</v>
      </c>
      <c r="E7">
        <f>(B7 * MONTH(1&amp;$C$1))-SUMIFS(Sample_Transactions[Amount], Sample_Transactions[Category], A7, Sample_Transactions[Month], "&lt;=" &amp; MONTH(1&amp;$C$1))</f>
        <v>12.36</v>
      </c>
    </row>
    <row r="8" spans="1:5" x14ac:dyDescent="0.25">
      <c r="A8" t="s">
        <v>1</v>
      </c>
      <c r="B8">
        <v>25</v>
      </c>
      <c r="C8">
        <f>SUMIFS(Sample_Transactions[Amount], Sample_Transactions[Category], A8, Sample_Transactions[Month Name], $C$1)</f>
        <v>24.99</v>
      </c>
      <c r="D8">
        <f>B8 - SUMIFS(Sample_Transactions[Amount], Sample_Transactions[Category], A8, Sample_Transactions[Month], MONTH(1&amp;$C$1))</f>
        <v>1.0000000000001563E-2</v>
      </c>
      <c r="E8">
        <f>(B8 * MONTH(1&amp;$C$1))-SUMIFS(Sample_Transactions[Amount], Sample_Transactions[Category], A8, Sample_Transactions[Month], "&lt;=" &amp; MONTH(1&amp;$C$1))</f>
        <v>1.0000000000001563E-2</v>
      </c>
    </row>
    <row r="9" spans="1:5" x14ac:dyDescent="0.25">
      <c r="A9" t="s">
        <v>8</v>
      </c>
      <c r="B9">
        <v>15</v>
      </c>
      <c r="C9">
        <f>SUMIFS(Sample_Transactions[Amount], Sample_Transactions[Category], A9, Sample_Transactions[Month Name], $C$1)</f>
        <v>0</v>
      </c>
      <c r="D9">
        <f>B9 - SUMIFS(Sample_Transactions[Amount], Sample_Transactions[Category], A9, Sample_Transactions[Month], MONTH(1&amp;$C$1))</f>
        <v>15</v>
      </c>
      <c r="E9">
        <f>(B9 * MONTH(1&amp;$C$1))-SUMIFS(Sample_Transactions[Amount], Sample_Transactions[Category], A9, Sample_Transactions[Month], "&lt;=" &amp; MONTH(1&amp;$C$1))</f>
        <v>15</v>
      </c>
    </row>
    <row r="10" spans="1:5" x14ac:dyDescent="0.25">
      <c r="A10" t="s">
        <v>43</v>
      </c>
      <c r="B10">
        <v>200</v>
      </c>
      <c r="C10">
        <f>SUMIFS(Sample_Transactions[Amount], Sample_Transactions[Category], A10, Sample_Transactions[Month Name], $C$1)</f>
        <v>300</v>
      </c>
      <c r="D10">
        <f>B10 - SUMIFS(Sample_Transactions[Amount], Sample_Transactions[Category], A10, Sample_Transactions[Month], MONTH(1&amp;$C$1))</f>
        <v>-100</v>
      </c>
      <c r="E10">
        <f>(B10 * MONTH(1&amp;$C$1))-SUMIFS(Sample_Transactions[Amount], Sample_Transactions[Category], A10, Sample_Transactions[Month], "&lt;=" &amp; MONTH(1&amp;$C$1))</f>
        <v>-100</v>
      </c>
    </row>
    <row r="11" spans="1:5" x14ac:dyDescent="0.25">
      <c r="A11" t="s">
        <v>41</v>
      </c>
      <c r="B11">
        <v>300</v>
      </c>
      <c r="C11">
        <f>SUMIFS(Sample_Transactions[Amount], Sample_Transactions[Category], A11, Sample_Transactions[Month Name], $C$1)</f>
        <v>450</v>
      </c>
      <c r="D11">
        <f>B11 - SUMIFS(Sample_Transactions[Amount], Sample_Transactions[Category], A11, Sample_Transactions[Month], MONTH(1&amp;$C$1))</f>
        <v>-150</v>
      </c>
      <c r="E11">
        <f>(B11 * MONTH(1&amp;$C$1))-SUMIFS(Sample_Transactions[Amount], Sample_Transactions[Category], A11, Sample_Transactions[Month], "&lt;=" &amp; MONTH(1&amp;$C$1))</f>
        <v>-150</v>
      </c>
    </row>
    <row r="12" spans="1:5" x14ac:dyDescent="0.25">
      <c r="A12" t="str">
        <f>C1</f>
        <v>January</v>
      </c>
      <c r="B12">
        <f>SUM(B3:B11)</f>
        <v>995</v>
      </c>
      <c r="C12">
        <f>SUM(C3:C11)</f>
        <v>1160.31</v>
      </c>
      <c r="D12">
        <f>SUM(D3:D11)</f>
        <v>-165.31</v>
      </c>
      <c r="E12">
        <f>SUM(E3:E11)</f>
        <v>-165.31</v>
      </c>
    </row>
  </sheetData>
  <phoneticPr fontId="1" type="noConversion"/>
  <conditionalFormatting sqref="D3:D12">
    <cfRule type="expression" dxfId="5" priority="1">
      <formula>($D3 + $E3) &lt; -5</formula>
    </cfRule>
    <cfRule type="expression" dxfId="4" priority="2">
      <formula>AND(($D3 + $E3) &gt;= -5, ($D3 + $E3) &lt;= 5)</formula>
    </cfRule>
    <cfRule type="expression" dxfId="3" priority="3">
      <formula>(D3 + $E3) &gt; 5</formula>
    </cfRule>
  </conditionalFormatting>
  <conditionalFormatting sqref="D73 D85:D1001">
    <cfRule type="expression" dxfId="2" priority="8">
      <formula>AND($D73&lt;-5, $E73&gt;=-5)</formula>
    </cfRule>
    <cfRule type="expression" dxfId="1" priority="11">
      <formula>AND($D73&gt;=5, $E73&gt;=5)</formula>
    </cfRule>
    <cfRule type="expression" dxfId="0" priority="12">
      <formula>AND($D73&lt;=-5, $E73&lt;=-5)</formula>
    </cfRule>
  </conditionalFormatting>
  <dataValidations count="1">
    <dataValidation type="list" allowBlank="1" showInputMessage="1" showErrorMessage="1" sqref="C1" xr:uid="{F417612C-4E3E-4570-9087-4B87D7804A66}">
      <formula1>"January, February, March, April, May, June, July, August, September, October, November, December"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F3D4-A10E-4A44-A4FA-2196F6712AF1}">
  <dimension ref="A1:B11"/>
  <sheetViews>
    <sheetView zoomScaleNormal="100" workbookViewId="0">
      <selection activeCell="A3" sqref="A3"/>
    </sheetView>
  </sheetViews>
  <sheetFormatPr defaultRowHeight="15" x14ac:dyDescent="0.25"/>
  <cols>
    <col min="1" max="1" width="16.140625" bestFit="1" customWidth="1"/>
    <col min="2" max="2" width="14.85546875" bestFit="1" customWidth="1"/>
    <col min="3" max="4" width="11.28515625" bestFit="1" customWidth="1"/>
    <col min="5" max="5" width="11" bestFit="1" customWidth="1"/>
    <col min="6" max="6" width="11.28515625" bestFit="1" customWidth="1"/>
    <col min="7" max="7" width="8" bestFit="1" customWidth="1"/>
    <col min="8" max="8" width="24" bestFit="1" customWidth="1"/>
    <col min="9" max="9" width="7.5703125" bestFit="1" customWidth="1"/>
    <col min="10" max="10" width="11.85546875" bestFit="1" customWidth="1"/>
    <col min="11" max="11" width="9.42578125" bestFit="1" customWidth="1"/>
    <col min="12" max="12" width="6.140625" bestFit="1" customWidth="1"/>
    <col min="14" max="14" width="7.7109375" bestFit="1" customWidth="1"/>
    <col min="15" max="15" width="11.28515625" bestFit="1" customWidth="1"/>
  </cols>
  <sheetData>
    <row r="1" spans="1:2" x14ac:dyDescent="0.25">
      <c r="A1" s="2" t="s">
        <v>34</v>
      </c>
      <c r="B1" t="s">
        <v>20</v>
      </c>
    </row>
    <row r="3" spans="1:2" x14ac:dyDescent="0.25">
      <c r="A3" s="2" t="s">
        <v>9</v>
      </c>
      <c r="B3" t="s">
        <v>19</v>
      </c>
    </row>
    <row r="4" spans="1:2" x14ac:dyDescent="0.25">
      <c r="A4" s="3" t="s">
        <v>11</v>
      </c>
      <c r="B4">
        <v>-300</v>
      </c>
    </row>
    <row r="5" spans="1:2" x14ac:dyDescent="0.25">
      <c r="A5" s="3" t="s">
        <v>12</v>
      </c>
      <c r="B5">
        <v>-200</v>
      </c>
    </row>
    <row r="6" spans="1:2" x14ac:dyDescent="0.25">
      <c r="A6" s="3" t="s">
        <v>13</v>
      </c>
      <c r="B6">
        <v>-200</v>
      </c>
    </row>
    <row r="7" spans="1:2" x14ac:dyDescent="0.25">
      <c r="A7" s="3" t="s">
        <v>14</v>
      </c>
      <c r="B7">
        <v>-200</v>
      </c>
    </row>
    <row r="8" spans="1:2" x14ac:dyDescent="0.25">
      <c r="A8" s="3" t="s">
        <v>15</v>
      </c>
      <c r="B8">
        <v>-200</v>
      </c>
    </row>
    <row r="9" spans="1:2" x14ac:dyDescent="0.25">
      <c r="A9" s="3" t="s">
        <v>16</v>
      </c>
      <c r="B9">
        <v>-200</v>
      </c>
    </row>
    <row r="10" spans="1:2" x14ac:dyDescent="0.25">
      <c r="A10" s="3" t="s">
        <v>18</v>
      </c>
      <c r="B10">
        <v>-300</v>
      </c>
    </row>
    <row r="11" spans="1:2" x14ac:dyDescent="0.25">
      <c r="A11" s="3" t="s">
        <v>10</v>
      </c>
      <c r="B11">
        <v>-1600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F53A-4C4B-4F64-9FEA-2FBF67BB4B87}">
  <dimension ref="A1:B11"/>
  <sheetViews>
    <sheetView zoomScale="90" workbookViewId="0">
      <selection activeCell="C20" sqref="C20"/>
    </sheetView>
  </sheetViews>
  <sheetFormatPr defaultRowHeight="15" x14ac:dyDescent="0.25"/>
  <cols>
    <col min="1" max="1" width="16.140625" bestFit="1" customWidth="1"/>
    <col min="2" max="2" width="14.85546875" bestFit="1" customWidth="1"/>
    <col min="3" max="3" width="17.42578125" bestFit="1" customWidth="1"/>
    <col min="4" max="4" width="19.28515625" bestFit="1" customWidth="1"/>
    <col min="5" max="5" width="18.140625" bestFit="1" customWidth="1"/>
    <col min="6" max="6" width="19.85546875" bestFit="1" customWidth="1"/>
    <col min="7" max="7" width="22.42578125" bestFit="1" customWidth="1"/>
    <col min="8" max="8" width="24.28515625" bestFit="1" customWidth="1"/>
    <col min="9" max="9" width="23.140625" bestFit="1" customWidth="1"/>
  </cols>
  <sheetData>
    <row r="1" spans="1:2" x14ac:dyDescent="0.25">
      <c r="A1" s="2" t="s">
        <v>34</v>
      </c>
      <c r="B1" t="s">
        <v>21</v>
      </c>
    </row>
    <row r="3" spans="1:2" x14ac:dyDescent="0.25">
      <c r="A3" s="2" t="s">
        <v>9</v>
      </c>
      <c r="B3" t="s">
        <v>19</v>
      </c>
    </row>
    <row r="4" spans="1:2" x14ac:dyDescent="0.25">
      <c r="A4" s="3" t="s">
        <v>11</v>
      </c>
      <c r="B4">
        <v>-450</v>
      </c>
    </row>
    <row r="5" spans="1:2" x14ac:dyDescent="0.25">
      <c r="A5" s="3" t="s">
        <v>12</v>
      </c>
      <c r="B5">
        <v>-300</v>
      </c>
    </row>
    <row r="6" spans="1:2" x14ac:dyDescent="0.25">
      <c r="A6" s="3" t="s">
        <v>13</v>
      </c>
      <c r="B6">
        <v>-300</v>
      </c>
    </row>
    <row r="7" spans="1:2" x14ac:dyDescent="0.25">
      <c r="A7" s="3" t="s">
        <v>14</v>
      </c>
      <c r="B7">
        <v>-300</v>
      </c>
    </row>
    <row r="8" spans="1:2" x14ac:dyDescent="0.25">
      <c r="A8" s="3" t="s">
        <v>15</v>
      </c>
      <c r="B8">
        <v>-300</v>
      </c>
    </row>
    <row r="9" spans="1:2" x14ac:dyDescent="0.25">
      <c r="A9" s="3" t="s">
        <v>16</v>
      </c>
      <c r="B9">
        <v>-300</v>
      </c>
    </row>
    <row r="10" spans="1:2" x14ac:dyDescent="0.25">
      <c r="A10" s="3" t="s">
        <v>18</v>
      </c>
      <c r="B10">
        <v>-450</v>
      </c>
    </row>
    <row r="11" spans="1:2" x14ac:dyDescent="0.25">
      <c r="A11" s="3" t="s">
        <v>10</v>
      </c>
      <c r="B11">
        <v>-2400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88AE-C4B2-4A76-865B-AF552AF93906}">
  <dimension ref="A1:H117"/>
  <sheetViews>
    <sheetView workbookViewId="0">
      <selection activeCell="J20" sqref="J20"/>
    </sheetView>
  </sheetViews>
  <sheetFormatPr defaultRowHeight="15" x14ac:dyDescent="0.25"/>
  <cols>
    <col min="1" max="1" width="9.42578125" bestFit="1" customWidth="1"/>
    <col min="2" max="2" width="27.5703125" bestFit="1" customWidth="1"/>
    <col min="3" max="3" width="10.28515625" bestFit="1" customWidth="1"/>
    <col min="4" max="4" width="18.5703125" bestFit="1" customWidth="1"/>
    <col min="5" max="5" width="20" bestFit="1" customWidth="1"/>
    <col min="6" max="6" width="10.7109375" bestFit="1" customWidth="1"/>
    <col min="7" max="7" width="14.7109375" bestFit="1" customWidth="1"/>
    <col min="8" max="8" width="9" bestFit="1" customWidth="1"/>
  </cols>
  <sheetData>
    <row r="1" spans="1:8" x14ac:dyDescent="0.25">
      <c r="A1" t="s">
        <v>33</v>
      </c>
      <c r="B1" t="s">
        <v>5</v>
      </c>
      <c r="C1" t="s">
        <v>6</v>
      </c>
      <c r="D1" t="s">
        <v>34</v>
      </c>
      <c r="E1" t="s">
        <v>17</v>
      </c>
      <c r="F1" t="s">
        <v>35</v>
      </c>
      <c r="G1" t="s">
        <v>26</v>
      </c>
      <c r="H1" t="s">
        <v>4</v>
      </c>
    </row>
    <row r="2" spans="1:8" x14ac:dyDescent="0.25">
      <c r="A2" s="1">
        <v>46023</v>
      </c>
      <c r="B2" t="s">
        <v>36</v>
      </c>
      <c r="C2">
        <v>65</v>
      </c>
      <c r="D2" t="s">
        <v>0</v>
      </c>
      <c r="E2" t="s">
        <v>37</v>
      </c>
      <c r="F2" t="s">
        <v>38</v>
      </c>
      <c r="G2" t="s">
        <v>25</v>
      </c>
      <c r="H2">
        <v>1</v>
      </c>
    </row>
    <row r="3" spans="1:8" x14ac:dyDescent="0.25">
      <c r="A3" s="1">
        <v>46024</v>
      </c>
      <c r="B3" t="s">
        <v>39</v>
      </c>
      <c r="C3">
        <v>842.18</v>
      </c>
      <c r="D3" t="s">
        <v>3</v>
      </c>
      <c r="E3" t="s">
        <v>40</v>
      </c>
      <c r="F3" t="s">
        <v>38</v>
      </c>
      <c r="G3" t="s">
        <v>25</v>
      </c>
      <c r="H3">
        <v>1</v>
      </c>
    </row>
    <row r="4" spans="1:8" x14ac:dyDescent="0.25">
      <c r="A4" s="1">
        <v>46024</v>
      </c>
      <c r="B4" t="s">
        <v>41</v>
      </c>
      <c r="C4">
        <v>150</v>
      </c>
      <c r="D4" t="s">
        <v>21</v>
      </c>
      <c r="E4" t="s">
        <v>41</v>
      </c>
      <c r="F4" t="s">
        <v>38</v>
      </c>
      <c r="G4" t="s">
        <v>25</v>
      </c>
      <c r="H4">
        <v>1</v>
      </c>
    </row>
    <row r="5" spans="1:8" x14ac:dyDescent="0.25">
      <c r="A5" s="1">
        <v>46024</v>
      </c>
      <c r="B5" t="s">
        <v>42</v>
      </c>
      <c r="C5">
        <v>100</v>
      </c>
      <c r="D5" t="s">
        <v>20</v>
      </c>
      <c r="E5" t="s">
        <v>43</v>
      </c>
      <c r="F5" t="s">
        <v>38</v>
      </c>
      <c r="G5" t="s">
        <v>25</v>
      </c>
      <c r="H5">
        <v>1</v>
      </c>
    </row>
    <row r="6" spans="1:8" x14ac:dyDescent="0.25">
      <c r="A6" s="1">
        <v>46025</v>
      </c>
      <c r="B6" t="s">
        <v>44</v>
      </c>
      <c r="C6">
        <v>92.45</v>
      </c>
      <c r="D6" t="s">
        <v>0</v>
      </c>
      <c r="E6" t="s">
        <v>45</v>
      </c>
      <c r="F6" t="s">
        <v>46</v>
      </c>
      <c r="G6" t="s">
        <v>25</v>
      </c>
      <c r="H6">
        <v>1</v>
      </c>
    </row>
    <row r="7" spans="1:8" x14ac:dyDescent="0.25">
      <c r="A7" s="1">
        <v>46027</v>
      </c>
      <c r="B7" t="s">
        <v>7</v>
      </c>
      <c r="C7">
        <v>46.82</v>
      </c>
      <c r="D7" t="s">
        <v>0</v>
      </c>
      <c r="E7" t="s">
        <v>7</v>
      </c>
      <c r="F7" t="s">
        <v>46</v>
      </c>
      <c r="G7" t="s">
        <v>25</v>
      </c>
      <c r="H7">
        <v>1</v>
      </c>
    </row>
    <row r="8" spans="1:8" x14ac:dyDescent="0.25">
      <c r="A8" s="1">
        <v>46030</v>
      </c>
      <c r="B8" t="s">
        <v>47</v>
      </c>
      <c r="C8">
        <v>38.200000000000003</v>
      </c>
      <c r="D8" t="s">
        <v>0</v>
      </c>
      <c r="E8" t="s">
        <v>48</v>
      </c>
      <c r="F8" t="s">
        <v>46</v>
      </c>
      <c r="G8" t="s">
        <v>25</v>
      </c>
      <c r="H8">
        <v>1</v>
      </c>
    </row>
    <row r="9" spans="1:8" x14ac:dyDescent="0.25">
      <c r="A9" s="1">
        <v>46033</v>
      </c>
      <c r="B9" t="s">
        <v>49</v>
      </c>
      <c r="C9">
        <v>27.64</v>
      </c>
      <c r="D9" t="s">
        <v>0</v>
      </c>
      <c r="E9" t="s">
        <v>50</v>
      </c>
      <c r="F9" t="s">
        <v>46</v>
      </c>
      <c r="G9" t="s">
        <v>25</v>
      </c>
      <c r="H9">
        <v>1</v>
      </c>
    </row>
    <row r="10" spans="1:8" x14ac:dyDescent="0.25">
      <c r="A10" s="1">
        <v>46036</v>
      </c>
      <c r="B10" t="s">
        <v>44</v>
      </c>
      <c r="C10">
        <v>55.3</v>
      </c>
      <c r="D10" t="s">
        <v>0</v>
      </c>
      <c r="E10" t="s">
        <v>45</v>
      </c>
      <c r="F10" t="s">
        <v>46</v>
      </c>
      <c r="G10" t="s">
        <v>25</v>
      </c>
      <c r="H10">
        <v>1</v>
      </c>
    </row>
    <row r="11" spans="1:8" x14ac:dyDescent="0.25">
      <c r="A11" s="1">
        <v>46038</v>
      </c>
      <c r="B11" t="s">
        <v>39</v>
      </c>
      <c r="C11">
        <v>861.42</v>
      </c>
      <c r="D11" t="s">
        <v>3</v>
      </c>
      <c r="E11" t="s">
        <v>40</v>
      </c>
      <c r="F11" t="s">
        <v>38</v>
      </c>
      <c r="G11" t="s">
        <v>25</v>
      </c>
      <c r="H11">
        <v>1</v>
      </c>
    </row>
    <row r="12" spans="1:8" x14ac:dyDescent="0.25">
      <c r="A12" s="1">
        <v>46038</v>
      </c>
      <c r="B12" t="s">
        <v>41</v>
      </c>
      <c r="C12">
        <v>150</v>
      </c>
      <c r="D12" t="s">
        <v>21</v>
      </c>
      <c r="E12" t="s">
        <v>41</v>
      </c>
      <c r="F12" t="s">
        <v>38</v>
      </c>
      <c r="G12" t="s">
        <v>25</v>
      </c>
      <c r="H12">
        <v>1</v>
      </c>
    </row>
    <row r="13" spans="1:8" x14ac:dyDescent="0.25">
      <c r="A13" s="1">
        <v>46038</v>
      </c>
      <c r="B13" t="s">
        <v>42</v>
      </c>
      <c r="C13">
        <v>100</v>
      </c>
      <c r="D13" t="s">
        <v>20</v>
      </c>
      <c r="E13" t="s">
        <v>43</v>
      </c>
      <c r="F13" t="s">
        <v>38</v>
      </c>
      <c r="G13" t="s">
        <v>25</v>
      </c>
      <c r="H13">
        <v>1</v>
      </c>
    </row>
    <row r="14" spans="1:8" x14ac:dyDescent="0.25">
      <c r="A14" s="1">
        <v>46040</v>
      </c>
      <c r="B14" t="s">
        <v>51</v>
      </c>
      <c r="C14">
        <v>24.99</v>
      </c>
      <c r="D14" t="s">
        <v>0</v>
      </c>
      <c r="E14" t="s">
        <v>1</v>
      </c>
      <c r="F14" t="s">
        <v>46</v>
      </c>
      <c r="G14" t="s">
        <v>25</v>
      </c>
      <c r="H14">
        <v>1</v>
      </c>
    </row>
    <row r="15" spans="1:8" x14ac:dyDescent="0.25">
      <c r="A15" s="1">
        <v>46043</v>
      </c>
      <c r="B15" t="s">
        <v>47</v>
      </c>
      <c r="C15">
        <v>18.75</v>
      </c>
      <c r="D15" t="s">
        <v>0</v>
      </c>
      <c r="E15" t="s">
        <v>48</v>
      </c>
      <c r="F15" t="s">
        <v>46</v>
      </c>
      <c r="G15" t="s">
        <v>25</v>
      </c>
      <c r="H15">
        <v>1</v>
      </c>
    </row>
    <row r="16" spans="1:8" x14ac:dyDescent="0.25">
      <c r="A16" s="1">
        <v>46047</v>
      </c>
      <c r="B16" t="s">
        <v>7</v>
      </c>
      <c r="C16">
        <v>41.16</v>
      </c>
      <c r="D16" t="s">
        <v>0</v>
      </c>
      <c r="E16" t="s">
        <v>7</v>
      </c>
      <c r="F16" t="s">
        <v>46</v>
      </c>
      <c r="G16" t="s">
        <v>25</v>
      </c>
      <c r="H16">
        <v>1</v>
      </c>
    </row>
    <row r="17" spans="1:8" x14ac:dyDescent="0.25">
      <c r="A17" s="1">
        <v>46052</v>
      </c>
      <c r="B17" t="s">
        <v>39</v>
      </c>
      <c r="C17">
        <v>834.76</v>
      </c>
      <c r="D17" t="s">
        <v>3</v>
      </c>
      <c r="E17" t="s">
        <v>40</v>
      </c>
      <c r="F17" t="s">
        <v>38</v>
      </c>
      <c r="G17" t="s">
        <v>25</v>
      </c>
      <c r="H17">
        <v>1</v>
      </c>
    </row>
    <row r="18" spans="1:8" x14ac:dyDescent="0.25">
      <c r="A18" s="1">
        <v>46052</v>
      </c>
      <c r="B18" t="s">
        <v>41</v>
      </c>
      <c r="C18">
        <v>150</v>
      </c>
      <c r="D18" t="s">
        <v>21</v>
      </c>
      <c r="E18" t="s">
        <v>41</v>
      </c>
      <c r="F18" t="s">
        <v>38</v>
      </c>
      <c r="G18" t="s">
        <v>25</v>
      </c>
      <c r="H18">
        <v>1</v>
      </c>
    </row>
    <row r="19" spans="1:8" x14ac:dyDescent="0.25">
      <c r="A19" s="1">
        <v>46052</v>
      </c>
      <c r="B19" t="s">
        <v>42</v>
      </c>
      <c r="C19">
        <v>100</v>
      </c>
      <c r="D19" t="s">
        <v>20</v>
      </c>
      <c r="E19" t="s">
        <v>43</v>
      </c>
      <c r="F19" t="s">
        <v>38</v>
      </c>
      <c r="G19" t="s">
        <v>25</v>
      </c>
      <c r="H19">
        <v>1</v>
      </c>
    </row>
    <row r="20" spans="1:8" x14ac:dyDescent="0.25">
      <c r="A20" s="1">
        <v>46054</v>
      </c>
      <c r="B20" t="s">
        <v>36</v>
      </c>
      <c r="C20">
        <v>65</v>
      </c>
      <c r="D20" t="s">
        <v>0</v>
      </c>
      <c r="E20" t="s">
        <v>37</v>
      </c>
      <c r="F20" t="s">
        <v>38</v>
      </c>
      <c r="G20" t="s">
        <v>31</v>
      </c>
      <c r="H20">
        <v>2</v>
      </c>
    </row>
    <row r="21" spans="1:8" x14ac:dyDescent="0.25">
      <c r="A21" s="1">
        <v>46056</v>
      </c>
      <c r="B21" t="s">
        <v>44</v>
      </c>
      <c r="C21">
        <v>88.7</v>
      </c>
      <c r="D21" t="s">
        <v>0</v>
      </c>
      <c r="E21" t="s">
        <v>45</v>
      </c>
      <c r="F21" t="s">
        <v>46</v>
      </c>
      <c r="G21" t="s">
        <v>31</v>
      </c>
      <c r="H21">
        <v>2</v>
      </c>
    </row>
    <row r="22" spans="1:8" x14ac:dyDescent="0.25">
      <c r="A22" s="1">
        <v>46058</v>
      </c>
      <c r="B22" t="s">
        <v>7</v>
      </c>
      <c r="C22">
        <v>51.24</v>
      </c>
      <c r="D22" t="s">
        <v>0</v>
      </c>
      <c r="E22" t="s">
        <v>7</v>
      </c>
      <c r="F22" t="s">
        <v>46</v>
      </c>
      <c r="G22" t="s">
        <v>31</v>
      </c>
      <c r="H22">
        <v>2</v>
      </c>
    </row>
    <row r="23" spans="1:8" x14ac:dyDescent="0.25">
      <c r="A23" s="1">
        <v>46059</v>
      </c>
      <c r="B23" t="s">
        <v>2</v>
      </c>
      <c r="C23">
        <v>312.45</v>
      </c>
      <c r="D23" t="s">
        <v>3</v>
      </c>
      <c r="E23" t="s">
        <v>52</v>
      </c>
      <c r="F23" t="s">
        <v>38</v>
      </c>
      <c r="G23" t="s">
        <v>31</v>
      </c>
      <c r="H23">
        <v>2</v>
      </c>
    </row>
    <row r="24" spans="1:8" x14ac:dyDescent="0.25">
      <c r="A24" s="1">
        <v>46061</v>
      </c>
      <c r="B24" t="s">
        <v>47</v>
      </c>
      <c r="C24">
        <v>35.9</v>
      </c>
      <c r="D24" t="s">
        <v>0</v>
      </c>
      <c r="E24" t="s">
        <v>48</v>
      </c>
      <c r="F24" t="s">
        <v>46</v>
      </c>
      <c r="G24" t="s">
        <v>31</v>
      </c>
      <c r="H24">
        <v>2</v>
      </c>
    </row>
    <row r="25" spans="1:8" x14ac:dyDescent="0.25">
      <c r="A25" s="1">
        <v>46064</v>
      </c>
      <c r="B25" t="s">
        <v>49</v>
      </c>
      <c r="C25">
        <v>31.48</v>
      </c>
      <c r="D25" t="s">
        <v>0</v>
      </c>
      <c r="E25" t="s">
        <v>50</v>
      </c>
      <c r="F25" t="s">
        <v>46</v>
      </c>
      <c r="G25" t="s">
        <v>31</v>
      </c>
      <c r="H25">
        <v>2</v>
      </c>
    </row>
    <row r="26" spans="1:8" x14ac:dyDescent="0.25">
      <c r="A26" s="1">
        <v>46066</v>
      </c>
      <c r="B26" t="s">
        <v>39</v>
      </c>
      <c r="C26">
        <v>873.1</v>
      </c>
      <c r="D26" t="s">
        <v>3</v>
      </c>
      <c r="E26" t="s">
        <v>40</v>
      </c>
      <c r="F26" t="s">
        <v>38</v>
      </c>
      <c r="G26" t="s">
        <v>31</v>
      </c>
      <c r="H26">
        <v>2</v>
      </c>
    </row>
    <row r="27" spans="1:8" x14ac:dyDescent="0.25">
      <c r="A27" s="1">
        <v>46066</v>
      </c>
      <c r="B27" t="s">
        <v>41</v>
      </c>
      <c r="C27">
        <v>150</v>
      </c>
      <c r="D27" t="s">
        <v>21</v>
      </c>
      <c r="E27" t="s">
        <v>41</v>
      </c>
      <c r="F27" t="s">
        <v>38</v>
      </c>
      <c r="G27" t="s">
        <v>31</v>
      </c>
      <c r="H27">
        <v>2</v>
      </c>
    </row>
    <row r="28" spans="1:8" x14ac:dyDescent="0.25">
      <c r="A28" s="1">
        <v>46066</v>
      </c>
      <c r="B28" t="s">
        <v>42</v>
      </c>
      <c r="C28">
        <v>100</v>
      </c>
      <c r="D28" t="s">
        <v>20</v>
      </c>
      <c r="E28" t="s">
        <v>43</v>
      </c>
      <c r="F28" t="s">
        <v>38</v>
      </c>
      <c r="G28" t="s">
        <v>31</v>
      </c>
      <c r="H28">
        <v>2</v>
      </c>
    </row>
    <row r="29" spans="1:8" x14ac:dyDescent="0.25">
      <c r="A29" s="1">
        <v>46067</v>
      </c>
      <c r="B29" t="s">
        <v>44</v>
      </c>
      <c r="C29">
        <v>48.6</v>
      </c>
      <c r="D29" t="s">
        <v>0</v>
      </c>
      <c r="E29" t="s">
        <v>45</v>
      </c>
      <c r="F29" t="s">
        <v>46</v>
      </c>
      <c r="G29" t="s">
        <v>31</v>
      </c>
      <c r="H29">
        <v>2</v>
      </c>
    </row>
    <row r="30" spans="1:8" x14ac:dyDescent="0.25">
      <c r="A30" s="1">
        <v>46071</v>
      </c>
      <c r="B30" t="s">
        <v>51</v>
      </c>
      <c r="C30">
        <v>24.99</v>
      </c>
      <c r="D30" t="s">
        <v>0</v>
      </c>
      <c r="E30" t="s">
        <v>1</v>
      </c>
      <c r="F30" t="s">
        <v>46</v>
      </c>
      <c r="G30" t="s">
        <v>31</v>
      </c>
      <c r="H30">
        <v>2</v>
      </c>
    </row>
    <row r="31" spans="1:8" x14ac:dyDescent="0.25">
      <c r="A31" s="1">
        <v>46074</v>
      </c>
      <c r="B31" t="s">
        <v>47</v>
      </c>
      <c r="C31">
        <v>16.2</v>
      </c>
      <c r="D31" t="s">
        <v>0</v>
      </c>
      <c r="E31" t="s">
        <v>48</v>
      </c>
      <c r="F31" t="s">
        <v>46</v>
      </c>
      <c r="G31" t="s">
        <v>31</v>
      </c>
      <c r="H31">
        <v>2</v>
      </c>
    </row>
    <row r="32" spans="1:8" x14ac:dyDescent="0.25">
      <c r="A32" s="1">
        <v>46078</v>
      </c>
      <c r="B32" t="s">
        <v>7</v>
      </c>
      <c r="C32">
        <v>44.38</v>
      </c>
      <c r="D32" t="s">
        <v>0</v>
      </c>
      <c r="E32" t="s">
        <v>7</v>
      </c>
      <c r="F32" t="s">
        <v>46</v>
      </c>
      <c r="G32" t="s">
        <v>31</v>
      </c>
      <c r="H32">
        <v>2</v>
      </c>
    </row>
    <row r="33" spans="1:8" x14ac:dyDescent="0.25">
      <c r="A33" s="1">
        <v>46080</v>
      </c>
      <c r="B33" t="s">
        <v>39</v>
      </c>
      <c r="C33">
        <v>856.34</v>
      </c>
      <c r="D33" t="s">
        <v>3</v>
      </c>
      <c r="E33" t="s">
        <v>40</v>
      </c>
      <c r="F33" t="s">
        <v>38</v>
      </c>
      <c r="G33" t="s">
        <v>31</v>
      </c>
      <c r="H33">
        <v>2</v>
      </c>
    </row>
    <row r="34" spans="1:8" x14ac:dyDescent="0.25">
      <c r="A34" s="1">
        <v>46080</v>
      </c>
      <c r="B34" t="s">
        <v>41</v>
      </c>
      <c r="C34">
        <v>150</v>
      </c>
      <c r="D34" t="s">
        <v>21</v>
      </c>
      <c r="E34" t="s">
        <v>41</v>
      </c>
      <c r="F34" t="s">
        <v>38</v>
      </c>
      <c r="G34" t="s">
        <v>31</v>
      </c>
      <c r="H34">
        <v>2</v>
      </c>
    </row>
    <row r="35" spans="1:8" x14ac:dyDescent="0.25">
      <c r="A35" s="1">
        <v>46080</v>
      </c>
      <c r="B35" t="s">
        <v>42</v>
      </c>
      <c r="C35">
        <v>100</v>
      </c>
      <c r="D35" t="s">
        <v>20</v>
      </c>
      <c r="E35" t="s">
        <v>43</v>
      </c>
      <c r="F35" t="s">
        <v>38</v>
      </c>
      <c r="G35" t="s">
        <v>31</v>
      </c>
      <c r="H35">
        <v>2</v>
      </c>
    </row>
    <row r="36" spans="1:8" x14ac:dyDescent="0.25">
      <c r="A36" s="1">
        <v>46082</v>
      </c>
      <c r="B36" t="s">
        <v>36</v>
      </c>
      <c r="C36">
        <v>65</v>
      </c>
      <c r="D36" t="s">
        <v>0</v>
      </c>
      <c r="E36" t="s">
        <v>37</v>
      </c>
      <c r="F36" t="s">
        <v>38</v>
      </c>
      <c r="G36" t="s">
        <v>30</v>
      </c>
      <c r="H36">
        <v>3</v>
      </c>
    </row>
    <row r="37" spans="1:8" x14ac:dyDescent="0.25">
      <c r="A37" s="1">
        <v>46084</v>
      </c>
      <c r="B37" t="s">
        <v>44</v>
      </c>
      <c r="C37">
        <v>96.18</v>
      </c>
      <c r="D37" t="s">
        <v>0</v>
      </c>
      <c r="E37" t="s">
        <v>45</v>
      </c>
      <c r="F37" t="s">
        <v>46</v>
      </c>
      <c r="G37" t="s">
        <v>30</v>
      </c>
      <c r="H37">
        <v>3</v>
      </c>
    </row>
    <row r="38" spans="1:8" x14ac:dyDescent="0.25">
      <c r="A38" s="1">
        <v>46086</v>
      </c>
      <c r="B38" t="s">
        <v>7</v>
      </c>
      <c r="C38">
        <v>43.76</v>
      </c>
      <c r="D38" t="s">
        <v>0</v>
      </c>
      <c r="E38" t="s">
        <v>7</v>
      </c>
      <c r="F38" t="s">
        <v>46</v>
      </c>
      <c r="G38" t="s">
        <v>30</v>
      </c>
      <c r="H38">
        <v>3</v>
      </c>
    </row>
    <row r="39" spans="1:8" x14ac:dyDescent="0.25">
      <c r="A39" s="1">
        <v>46089</v>
      </c>
      <c r="B39" t="s">
        <v>47</v>
      </c>
      <c r="C39">
        <v>42.35</v>
      </c>
      <c r="D39" t="s">
        <v>0</v>
      </c>
      <c r="E39" t="s">
        <v>48</v>
      </c>
      <c r="F39" t="s">
        <v>46</v>
      </c>
      <c r="G39" t="s">
        <v>30</v>
      </c>
      <c r="H39">
        <v>3</v>
      </c>
    </row>
    <row r="40" spans="1:8" x14ac:dyDescent="0.25">
      <c r="A40" s="1">
        <v>46092</v>
      </c>
      <c r="B40" t="s">
        <v>49</v>
      </c>
      <c r="C40">
        <v>29.12</v>
      </c>
      <c r="D40" t="s">
        <v>0</v>
      </c>
      <c r="E40" t="s">
        <v>50</v>
      </c>
      <c r="F40" t="s">
        <v>46</v>
      </c>
      <c r="G40" t="s">
        <v>30</v>
      </c>
      <c r="H40">
        <v>3</v>
      </c>
    </row>
    <row r="41" spans="1:8" x14ac:dyDescent="0.25">
      <c r="A41" s="1">
        <v>46094</v>
      </c>
      <c r="B41" t="s">
        <v>39</v>
      </c>
      <c r="C41">
        <v>847.89</v>
      </c>
      <c r="D41" t="s">
        <v>3</v>
      </c>
      <c r="E41" t="s">
        <v>40</v>
      </c>
      <c r="F41" t="s">
        <v>38</v>
      </c>
      <c r="G41" t="s">
        <v>30</v>
      </c>
      <c r="H41">
        <v>3</v>
      </c>
    </row>
    <row r="42" spans="1:8" x14ac:dyDescent="0.25">
      <c r="A42" s="1">
        <v>46094</v>
      </c>
      <c r="B42" t="s">
        <v>41</v>
      </c>
      <c r="C42">
        <v>150</v>
      </c>
      <c r="D42" t="s">
        <v>21</v>
      </c>
      <c r="E42" t="s">
        <v>41</v>
      </c>
      <c r="F42" t="s">
        <v>38</v>
      </c>
      <c r="G42" t="s">
        <v>30</v>
      </c>
      <c r="H42">
        <v>3</v>
      </c>
    </row>
    <row r="43" spans="1:8" x14ac:dyDescent="0.25">
      <c r="A43" s="1">
        <v>46094</v>
      </c>
      <c r="B43" t="s">
        <v>42</v>
      </c>
      <c r="C43">
        <v>100</v>
      </c>
      <c r="D43" t="s">
        <v>20</v>
      </c>
      <c r="E43" t="s">
        <v>43</v>
      </c>
      <c r="F43" t="s">
        <v>38</v>
      </c>
      <c r="G43" t="s">
        <v>30</v>
      </c>
      <c r="H43">
        <v>3</v>
      </c>
    </row>
    <row r="44" spans="1:8" x14ac:dyDescent="0.25">
      <c r="A44" s="1">
        <v>46095</v>
      </c>
      <c r="B44" t="s">
        <v>44</v>
      </c>
      <c r="C44">
        <v>61.4</v>
      </c>
      <c r="D44" t="s">
        <v>0</v>
      </c>
      <c r="E44" t="s">
        <v>45</v>
      </c>
      <c r="F44" t="s">
        <v>46</v>
      </c>
      <c r="G44" t="s">
        <v>30</v>
      </c>
      <c r="H44">
        <v>3</v>
      </c>
    </row>
    <row r="45" spans="1:8" x14ac:dyDescent="0.25">
      <c r="A45" s="1">
        <v>46099</v>
      </c>
      <c r="B45" t="s">
        <v>51</v>
      </c>
      <c r="C45">
        <v>24.99</v>
      </c>
      <c r="D45" t="s">
        <v>0</v>
      </c>
      <c r="E45" t="s">
        <v>1</v>
      </c>
      <c r="F45" t="s">
        <v>46</v>
      </c>
      <c r="G45" t="s">
        <v>30</v>
      </c>
      <c r="H45">
        <v>3</v>
      </c>
    </row>
    <row r="46" spans="1:8" x14ac:dyDescent="0.25">
      <c r="A46" s="1">
        <v>46101</v>
      </c>
      <c r="B46" t="s">
        <v>53</v>
      </c>
      <c r="C46">
        <v>84.32</v>
      </c>
      <c r="D46" t="s">
        <v>0</v>
      </c>
      <c r="E46" t="s">
        <v>8</v>
      </c>
      <c r="F46" t="s">
        <v>46</v>
      </c>
      <c r="G46" t="s">
        <v>30</v>
      </c>
      <c r="H46">
        <v>3</v>
      </c>
    </row>
    <row r="47" spans="1:8" x14ac:dyDescent="0.25">
      <c r="A47" s="1">
        <v>46102</v>
      </c>
      <c r="B47" t="s">
        <v>47</v>
      </c>
      <c r="C47">
        <v>20.55</v>
      </c>
      <c r="D47" t="s">
        <v>0</v>
      </c>
      <c r="E47" t="s">
        <v>48</v>
      </c>
      <c r="F47" t="s">
        <v>46</v>
      </c>
      <c r="G47" t="s">
        <v>30</v>
      </c>
      <c r="H47">
        <v>3</v>
      </c>
    </row>
    <row r="48" spans="1:8" x14ac:dyDescent="0.25">
      <c r="A48" s="1">
        <v>46106</v>
      </c>
      <c r="B48" t="s">
        <v>7</v>
      </c>
      <c r="C48">
        <v>39.840000000000003</v>
      </c>
      <c r="D48" t="s">
        <v>0</v>
      </c>
      <c r="E48" t="s">
        <v>7</v>
      </c>
      <c r="F48" t="s">
        <v>46</v>
      </c>
      <c r="G48" t="s">
        <v>30</v>
      </c>
      <c r="H48">
        <v>3</v>
      </c>
    </row>
    <row r="49" spans="1:8" x14ac:dyDescent="0.25">
      <c r="A49" s="1">
        <v>46108</v>
      </c>
      <c r="B49" t="s">
        <v>39</v>
      </c>
      <c r="C49">
        <v>882.15</v>
      </c>
      <c r="D49" t="s">
        <v>3</v>
      </c>
      <c r="E49" t="s">
        <v>40</v>
      </c>
      <c r="F49" t="s">
        <v>38</v>
      </c>
      <c r="G49" t="s">
        <v>30</v>
      </c>
      <c r="H49">
        <v>3</v>
      </c>
    </row>
    <row r="50" spans="1:8" x14ac:dyDescent="0.25">
      <c r="A50" s="1">
        <v>46108</v>
      </c>
      <c r="B50" t="s">
        <v>41</v>
      </c>
      <c r="C50">
        <v>150</v>
      </c>
      <c r="D50" t="s">
        <v>21</v>
      </c>
      <c r="E50" t="s">
        <v>41</v>
      </c>
      <c r="F50" t="s">
        <v>38</v>
      </c>
      <c r="G50" t="s">
        <v>30</v>
      </c>
      <c r="H50">
        <v>3</v>
      </c>
    </row>
    <row r="51" spans="1:8" x14ac:dyDescent="0.25">
      <c r="A51" s="1">
        <v>46108</v>
      </c>
      <c r="B51" t="s">
        <v>42</v>
      </c>
      <c r="C51">
        <v>100</v>
      </c>
      <c r="D51" t="s">
        <v>20</v>
      </c>
      <c r="E51" t="s">
        <v>43</v>
      </c>
      <c r="F51" t="s">
        <v>38</v>
      </c>
      <c r="G51" t="s">
        <v>30</v>
      </c>
      <c r="H51">
        <v>3</v>
      </c>
    </row>
    <row r="52" spans="1:8" x14ac:dyDescent="0.25">
      <c r="A52" s="1">
        <v>46113</v>
      </c>
      <c r="B52" t="s">
        <v>36</v>
      </c>
      <c r="C52">
        <v>65</v>
      </c>
      <c r="D52" t="s">
        <v>0</v>
      </c>
      <c r="E52" t="s">
        <v>37</v>
      </c>
      <c r="F52" t="s">
        <v>38</v>
      </c>
      <c r="G52" t="s">
        <v>29</v>
      </c>
      <c r="H52">
        <v>4</v>
      </c>
    </row>
    <row r="53" spans="1:8" x14ac:dyDescent="0.25">
      <c r="A53" s="1">
        <v>46115</v>
      </c>
      <c r="B53" t="s">
        <v>44</v>
      </c>
      <c r="C53">
        <v>90.36</v>
      </c>
      <c r="D53" t="s">
        <v>0</v>
      </c>
      <c r="E53" t="s">
        <v>45</v>
      </c>
      <c r="F53" t="s">
        <v>46</v>
      </c>
      <c r="G53" t="s">
        <v>29</v>
      </c>
      <c r="H53">
        <v>4</v>
      </c>
    </row>
    <row r="54" spans="1:8" x14ac:dyDescent="0.25">
      <c r="A54" s="1">
        <v>46117</v>
      </c>
      <c r="B54" t="s">
        <v>7</v>
      </c>
      <c r="C54">
        <v>49.88</v>
      </c>
      <c r="D54" t="s">
        <v>0</v>
      </c>
      <c r="E54" t="s">
        <v>7</v>
      </c>
      <c r="F54" t="s">
        <v>46</v>
      </c>
      <c r="G54" t="s">
        <v>29</v>
      </c>
      <c r="H54">
        <v>4</v>
      </c>
    </row>
    <row r="55" spans="1:8" x14ac:dyDescent="0.25">
      <c r="A55" s="1">
        <v>46120</v>
      </c>
      <c r="B55" t="s">
        <v>47</v>
      </c>
      <c r="C55">
        <v>37.6</v>
      </c>
      <c r="D55" t="s">
        <v>0</v>
      </c>
      <c r="E55" t="s">
        <v>48</v>
      </c>
      <c r="F55" t="s">
        <v>46</v>
      </c>
      <c r="G55" t="s">
        <v>29</v>
      </c>
      <c r="H55">
        <v>4</v>
      </c>
    </row>
    <row r="56" spans="1:8" x14ac:dyDescent="0.25">
      <c r="A56" s="1">
        <v>46122</v>
      </c>
      <c r="B56" t="s">
        <v>39</v>
      </c>
      <c r="C56">
        <v>858.6</v>
      </c>
      <c r="D56" t="s">
        <v>3</v>
      </c>
      <c r="E56" t="s">
        <v>40</v>
      </c>
      <c r="F56" t="s">
        <v>38</v>
      </c>
      <c r="G56" t="s">
        <v>29</v>
      </c>
      <c r="H56">
        <v>4</v>
      </c>
    </row>
    <row r="57" spans="1:8" x14ac:dyDescent="0.25">
      <c r="A57" s="1">
        <v>46122</v>
      </c>
      <c r="B57" t="s">
        <v>41</v>
      </c>
      <c r="C57">
        <v>150</v>
      </c>
      <c r="D57" t="s">
        <v>21</v>
      </c>
      <c r="E57" t="s">
        <v>41</v>
      </c>
      <c r="F57" t="s">
        <v>38</v>
      </c>
      <c r="G57" t="s">
        <v>29</v>
      </c>
      <c r="H57">
        <v>4</v>
      </c>
    </row>
    <row r="58" spans="1:8" x14ac:dyDescent="0.25">
      <c r="A58" s="1">
        <v>46122</v>
      </c>
      <c r="B58" t="s">
        <v>42</v>
      </c>
      <c r="C58">
        <v>100</v>
      </c>
      <c r="D58" t="s">
        <v>20</v>
      </c>
      <c r="E58" t="s">
        <v>43</v>
      </c>
      <c r="F58" t="s">
        <v>38</v>
      </c>
      <c r="G58" t="s">
        <v>29</v>
      </c>
      <c r="H58">
        <v>4</v>
      </c>
    </row>
    <row r="59" spans="1:8" x14ac:dyDescent="0.25">
      <c r="A59" s="1">
        <v>46123</v>
      </c>
      <c r="B59" t="s">
        <v>49</v>
      </c>
      <c r="C59">
        <v>33.25</v>
      </c>
      <c r="D59" t="s">
        <v>0</v>
      </c>
      <c r="E59" t="s">
        <v>50</v>
      </c>
      <c r="F59" t="s">
        <v>46</v>
      </c>
      <c r="G59" t="s">
        <v>29</v>
      </c>
      <c r="H59">
        <v>4</v>
      </c>
    </row>
    <row r="60" spans="1:8" x14ac:dyDescent="0.25">
      <c r="A60" s="1">
        <v>46126</v>
      </c>
      <c r="B60" t="s">
        <v>44</v>
      </c>
      <c r="C60">
        <v>53.72</v>
      </c>
      <c r="D60" t="s">
        <v>0</v>
      </c>
      <c r="E60" t="s">
        <v>45</v>
      </c>
      <c r="F60" t="s">
        <v>46</v>
      </c>
      <c r="G60" t="s">
        <v>29</v>
      </c>
      <c r="H60">
        <v>4</v>
      </c>
    </row>
    <row r="61" spans="1:8" x14ac:dyDescent="0.25">
      <c r="A61" s="1">
        <v>46130</v>
      </c>
      <c r="B61" t="s">
        <v>51</v>
      </c>
      <c r="C61">
        <v>24.99</v>
      </c>
      <c r="D61" t="s">
        <v>0</v>
      </c>
      <c r="E61" t="s">
        <v>1</v>
      </c>
      <c r="F61" t="s">
        <v>46</v>
      </c>
      <c r="G61" t="s">
        <v>29</v>
      </c>
      <c r="H61">
        <v>4</v>
      </c>
    </row>
    <row r="62" spans="1:8" x14ac:dyDescent="0.25">
      <c r="A62" s="1">
        <v>46133</v>
      </c>
      <c r="B62" t="s">
        <v>47</v>
      </c>
      <c r="C62">
        <v>15.9</v>
      </c>
      <c r="D62" t="s">
        <v>0</v>
      </c>
      <c r="E62" t="s">
        <v>48</v>
      </c>
      <c r="F62" t="s">
        <v>46</v>
      </c>
      <c r="G62" t="s">
        <v>29</v>
      </c>
      <c r="H62">
        <v>4</v>
      </c>
    </row>
    <row r="63" spans="1:8" x14ac:dyDescent="0.25">
      <c r="A63" s="1">
        <v>46136</v>
      </c>
      <c r="B63" t="s">
        <v>39</v>
      </c>
      <c r="C63">
        <v>839.47</v>
      </c>
      <c r="D63" t="s">
        <v>3</v>
      </c>
      <c r="E63" t="s">
        <v>40</v>
      </c>
      <c r="F63" t="s">
        <v>38</v>
      </c>
      <c r="G63" t="s">
        <v>29</v>
      </c>
      <c r="H63">
        <v>4</v>
      </c>
    </row>
    <row r="64" spans="1:8" x14ac:dyDescent="0.25">
      <c r="A64" s="1">
        <v>46136</v>
      </c>
      <c r="B64" t="s">
        <v>41</v>
      </c>
      <c r="C64">
        <v>150</v>
      </c>
      <c r="D64" t="s">
        <v>21</v>
      </c>
      <c r="E64" t="s">
        <v>41</v>
      </c>
      <c r="F64" t="s">
        <v>38</v>
      </c>
      <c r="G64" t="s">
        <v>29</v>
      </c>
      <c r="H64">
        <v>4</v>
      </c>
    </row>
    <row r="65" spans="1:8" x14ac:dyDescent="0.25">
      <c r="A65" s="1">
        <v>46136</v>
      </c>
      <c r="B65" t="s">
        <v>42</v>
      </c>
      <c r="C65">
        <v>100</v>
      </c>
      <c r="D65" t="s">
        <v>20</v>
      </c>
      <c r="E65" t="s">
        <v>43</v>
      </c>
      <c r="F65" t="s">
        <v>38</v>
      </c>
      <c r="G65" t="s">
        <v>29</v>
      </c>
      <c r="H65">
        <v>4</v>
      </c>
    </row>
    <row r="66" spans="1:8" x14ac:dyDescent="0.25">
      <c r="A66" s="1">
        <v>46137</v>
      </c>
      <c r="B66" t="s">
        <v>7</v>
      </c>
      <c r="C66">
        <v>46.27</v>
      </c>
      <c r="D66" t="s">
        <v>0</v>
      </c>
      <c r="E66" t="s">
        <v>7</v>
      </c>
      <c r="F66" t="s">
        <v>46</v>
      </c>
      <c r="G66" t="s">
        <v>29</v>
      </c>
      <c r="H66">
        <v>4</v>
      </c>
    </row>
    <row r="67" spans="1:8" x14ac:dyDescent="0.25">
      <c r="A67" s="1">
        <v>46143</v>
      </c>
      <c r="B67" t="s">
        <v>36</v>
      </c>
      <c r="C67">
        <v>65</v>
      </c>
      <c r="D67" t="s">
        <v>0</v>
      </c>
      <c r="E67" t="s">
        <v>37</v>
      </c>
      <c r="F67" t="s">
        <v>38</v>
      </c>
      <c r="G67" t="s">
        <v>15</v>
      </c>
      <c r="H67">
        <v>5</v>
      </c>
    </row>
    <row r="68" spans="1:8" x14ac:dyDescent="0.25">
      <c r="A68" s="1">
        <v>46145</v>
      </c>
      <c r="B68" t="s">
        <v>44</v>
      </c>
      <c r="C68">
        <v>101.52</v>
      </c>
      <c r="D68" t="s">
        <v>0</v>
      </c>
      <c r="E68" t="s">
        <v>45</v>
      </c>
      <c r="F68" t="s">
        <v>46</v>
      </c>
      <c r="G68" t="s">
        <v>15</v>
      </c>
      <c r="H68">
        <v>5</v>
      </c>
    </row>
    <row r="69" spans="1:8" x14ac:dyDescent="0.25">
      <c r="A69" s="1">
        <v>46147</v>
      </c>
      <c r="B69" t="s">
        <v>7</v>
      </c>
      <c r="C69">
        <v>54.1</v>
      </c>
      <c r="D69" t="s">
        <v>0</v>
      </c>
      <c r="E69" t="s">
        <v>7</v>
      </c>
      <c r="F69" t="s">
        <v>46</v>
      </c>
      <c r="G69" t="s">
        <v>15</v>
      </c>
      <c r="H69">
        <v>5</v>
      </c>
    </row>
    <row r="70" spans="1:8" x14ac:dyDescent="0.25">
      <c r="A70" s="1">
        <v>46150</v>
      </c>
      <c r="B70" t="s">
        <v>47</v>
      </c>
      <c r="C70">
        <v>40.799999999999997</v>
      </c>
      <c r="D70" t="s">
        <v>0</v>
      </c>
      <c r="E70" t="s">
        <v>48</v>
      </c>
      <c r="F70" t="s">
        <v>46</v>
      </c>
      <c r="G70" t="s">
        <v>15</v>
      </c>
      <c r="H70">
        <v>5</v>
      </c>
    </row>
    <row r="71" spans="1:8" x14ac:dyDescent="0.25">
      <c r="A71" s="1">
        <v>46150</v>
      </c>
      <c r="B71" t="s">
        <v>39</v>
      </c>
      <c r="C71">
        <v>875.22</v>
      </c>
      <c r="D71" t="s">
        <v>3</v>
      </c>
      <c r="E71" t="s">
        <v>40</v>
      </c>
      <c r="F71" t="s">
        <v>38</v>
      </c>
      <c r="G71" t="s">
        <v>15</v>
      </c>
      <c r="H71">
        <v>5</v>
      </c>
    </row>
    <row r="72" spans="1:8" x14ac:dyDescent="0.25">
      <c r="A72" s="1">
        <v>46150</v>
      </c>
      <c r="B72" t="s">
        <v>41</v>
      </c>
      <c r="C72">
        <v>150</v>
      </c>
      <c r="D72" t="s">
        <v>21</v>
      </c>
      <c r="E72" t="s">
        <v>41</v>
      </c>
      <c r="F72" t="s">
        <v>38</v>
      </c>
      <c r="G72" t="s">
        <v>15</v>
      </c>
      <c r="H72">
        <v>5</v>
      </c>
    </row>
    <row r="73" spans="1:8" x14ac:dyDescent="0.25">
      <c r="A73" s="1">
        <v>46150</v>
      </c>
      <c r="B73" t="s">
        <v>42</v>
      </c>
      <c r="C73">
        <v>100</v>
      </c>
      <c r="D73" t="s">
        <v>20</v>
      </c>
      <c r="E73" t="s">
        <v>43</v>
      </c>
      <c r="F73" t="s">
        <v>38</v>
      </c>
      <c r="G73" t="s">
        <v>15</v>
      </c>
      <c r="H73">
        <v>5</v>
      </c>
    </row>
    <row r="74" spans="1:8" x14ac:dyDescent="0.25">
      <c r="A74" s="1">
        <v>46153</v>
      </c>
      <c r="B74" t="s">
        <v>49</v>
      </c>
      <c r="C74">
        <v>28.75</v>
      </c>
      <c r="D74" t="s">
        <v>0</v>
      </c>
      <c r="E74" t="s">
        <v>50</v>
      </c>
      <c r="F74" t="s">
        <v>46</v>
      </c>
      <c r="G74" t="s">
        <v>15</v>
      </c>
      <c r="H74">
        <v>5</v>
      </c>
    </row>
    <row r="75" spans="1:8" x14ac:dyDescent="0.25">
      <c r="A75" s="1">
        <v>46156</v>
      </c>
      <c r="B75" t="s">
        <v>44</v>
      </c>
      <c r="C75">
        <v>58.36</v>
      </c>
      <c r="D75" t="s">
        <v>0</v>
      </c>
      <c r="E75" t="s">
        <v>45</v>
      </c>
      <c r="F75" t="s">
        <v>46</v>
      </c>
      <c r="G75" t="s">
        <v>15</v>
      </c>
      <c r="H75">
        <v>5</v>
      </c>
    </row>
    <row r="76" spans="1:8" x14ac:dyDescent="0.25">
      <c r="A76" s="1">
        <v>46157</v>
      </c>
      <c r="B76" t="s">
        <v>54</v>
      </c>
      <c r="C76">
        <v>75</v>
      </c>
      <c r="D76" t="s">
        <v>3</v>
      </c>
      <c r="E76" t="s">
        <v>52</v>
      </c>
      <c r="F76" t="s">
        <v>38</v>
      </c>
      <c r="G76" t="s">
        <v>15</v>
      </c>
      <c r="H76">
        <v>5</v>
      </c>
    </row>
    <row r="77" spans="1:8" x14ac:dyDescent="0.25">
      <c r="A77" s="1">
        <v>46160</v>
      </c>
      <c r="B77" t="s">
        <v>51</v>
      </c>
      <c r="C77">
        <v>24.99</v>
      </c>
      <c r="D77" t="s">
        <v>0</v>
      </c>
      <c r="E77" t="s">
        <v>1</v>
      </c>
      <c r="F77" t="s">
        <v>46</v>
      </c>
      <c r="G77" t="s">
        <v>15</v>
      </c>
      <c r="H77">
        <v>5</v>
      </c>
    </row>
    <row r="78" spans="1:8" x14ac:dyDescent="0.25">
      <c r="A78" s="1">
        <v>46163</v>
      </c>
      <c r="B78" t="s">
        <v>47</v>
      </c>
      <c r="C78">
        <v>22.4</v>
      </c>
      <c r="D78" t="s">
        <v>0</v>
      </c>
      <c r="E78" t="s">
        <v>48</v>
      </c>
      <c r="F78" t="s">
        <v>46</v>
      </c>
      <c r="G78" t="s">
        <v>15</v>
      </c>
      <c r="H78">
        <v>5</v>
      </c>
    </row>
    <row r="79" spans="1:8" x14ac:dyDescent="0.25">
      <c r="A79" s="1">
        <v>46164</v>
      </c>
      <c r="B79" t="s">
        <v>39</v>
      </c>
      <c r="C79">
        <v>864.91</v>
      </c>
      <c r="D79" t="s">
        <v>3</v>
      </c>
      <c r="E79" t="s">
        <v>40</v>
      </c>
      <c r="F79" t="s">
        <v>38</v>
      </c>
      <c r="G79" t="s">
        <v>15</v>
      </c>
      <c r="H79">
        <v>5</v>
      </c>
    </row>
    <row r="80" spans="1:8" x14ac:dyDescent="0.25">
      <c r="A80" s="1">
        <v>46164</v>
      </c>
      <c r="B80" t="s">
        <v>41</v>
      </c>
      <c r="C80">
        <v>150</v>
      </c>
      <c r="D80" t="s">
        <v>21</v>
      </c>
      <c r="E80" t="s">
        <v>41</v>
      </c>
      <c r="F80" t="s">
        <v>38</v>
      </c>
      <c r="G80" t="s">
        <v>15</v>
      </c>
      <c r="H80">
        <v>5</v>
      </c>
    </row>
    <row r="81" spans="1:8" x14ac:dyDescent="0.25">
      <c r="A81" s="1">
        <v>46164</v>
      </c>
      <c r="B81" t="s">
        <v>42</v>
      </c>
      <c r="C81">
        <v>100</v>
      </c>
      <c r="D81" t="s">
        <v>20</v>
      </c>
      <c r="E81" t="s">
        <v>43</v>
      </c>
      <c r="F81" t="s">
        <v>38</v>
      </c>
      <c r="G81" t="s">
        <v>15</v>
      </c>
      <c r="H81">
        <v>5</v>
      </c>
    </row>
    <row r="82" spans="1:8" x14ac:dyDescent="0.25">
      <c r="A82" s="1">
        <v>46167</v>
      </c>
      <c r="B82" t="s">
        <v>7</v>
      </c>
      <c r="C82">
        <v>43.19</v>
      </c>
      <c r="D82" t="s">
        <v>0</v>
      </c>
      <c r="E82" t="s">
        <v>7</v>
      </c>
      <c r="F82" t="s">
        <v>46</v>
      </c>
      <c r="G82" t="s">
        <v>15</v>
      </c>
      <c r="H82">
        <v>5</v>
      </c>
    </row>
    <row r="83" spans="1:8" x14ac:dyDescent="0.25">
      <c r="A83" s="1">
        <v>46174</v>
      </c>
      <c r="B83" t="s">
        <v>36</v>
      </c>
      <c r="C83">
        <v>65</v>
      </c>
      <c r="D83" t="s">
        <v>0</v>
      </c>
      <c r="E83" t="s">
        <v>37</v>
      </c>
      <c r="F83" t="s">
        <v>38</v>
      </c>
      <c r="G83" t="s">
        <v>28</v>
      </c>
      <c r="H83">
        <v>6</v>
      </c>
    </row>
    <row r="84" spans="1:8" x14ac:dyDescent="0.25">
      <c r="A84" s="1">
        <v>46176</v>
      </c>
      <c r="B84" t="s">
        <v>44</v>
      </c>
      <c r="C84">
        <v>94.25</v>
      </c>
      <c r="D84" t="s">
        <v>0</v>
      </c>
      <c r="E84" t="s">
        <v>45</v>
      </c>
      <c r="F84" t="s">
        <v>46</v>
      </c>
      <c r="G84" t="s">
        <v>28</v>
      </c>
      <c r="H84">
        <v>6</v>
      </c>
    </row>
    <row r="85" spans="1:8" x14ac:dyDescent="0.25">
      <c r="A85" s="1">
        <v>46178</v>
      </c>
      <c r="B85" t="s">
        <v>7</v>
      </c>
      <c r="C85">
        <v>47.36</v>
      </c>
      <c r="D85" t="s">
        <v>0</v>
      </c>
      <c r="E85" t="s">
        <v>7</v>
      </c>
      <c r="F85" t="s">
        <v>46</v>
      </c>
      <c r="G85" t="s">
        <v>28</v>
      </c>
      <c r="H85">
        <v>6</v>
      </c>
    </row>
    <row r="86" spans="1:8" x14ac:dyDescent="0.25">
      <c r="A86" s="1">
        <v>46178</v>
      </c>
      <c r="B86" t="s">
        <v>39</v>
      </c>
      <c r="C86">
        <v>851.36</v>
      </c>
      <c r="D86" t="s">
        <v>3</v>
      </c>
      <c r="E86" t="s">
        <v>40</v>
      </c>
      <c r="F86" t="s">
        <v>38</v>
      </c>
      <c r="G86" t="s">
        <v>28</v>
      </c>
      <c r="H86">
        <v>6</v>
      </c>
    </row>
    <row r="87" spans="1:8" x14ac:dyDescent="0.25">
      <c r="A87" s="1">
        <v>46178</v>
      </c>
      <c r="B87" t="s">
        <v>41</v>
      </c>
      <c r="C87">
        <v>150</v>
      </c>
      <c r="D87" t="s">
        <v>21</v>
      </c>
      <c r="E87" t="s">
        <v>41</v>
      </c>
      <c r="F87" t="s">
        <v>38</v>
      </c>
      <c r="G87" t="s">
        <v>28</v>
      </c>
      <c r="H87">
        <v>6</v>
      </c>
    </row>
    <row r="88" spans="1:8" x14ac:dyDescent="0.25">
      <c r="A88" s="1">
        <v>46178</v>
      </c>
      <c r="B88" t="s">
        <v>42</v>
      </c>
      <c r="C88">
        <v>100</v>
      </c>
      <c r="D88" t="s">
        <v>20</v>
      </c>
      <c r="E88" t="s">
        <v>43</v>
      </c>
      <c r="F88" t="s">
        <v>38</v>
      </c>
      <c r="G88" t="s">
        <v>28</v>
      </c>
      <c r="H88">
        <v>6</v>
      </c>
    </row>
    <row r="89" spans="1:8" x14ac:dyDescent="0.25">
      <c r="A89" s="1">
        <v>46181</v>
      </c>
      <c r="B89" t="s">
        <v>55</v>
      </c>
      <c r="C89">
        <v>150</v>
      </c>
      <c r="D89" t="s">
        <v>3</v>
      </c>
      <c r="E89" t="s">
        <v>56</v>
      </c>
      <c r="F89" t="s">
        <v>38</v>
      </c>
      <c r="G89" t="s">
        <v>28</v>
      </c>
      <c r="H89">
        <v>6</v>
      </c>
    </row>
    <row r="90" spans="1:8" x14ac:dyDescent="0.25">
      <c r="A90" s="1">
        <v>46181</v>
      </c>
      <c r="B90" t="s">
        <v>47</v>
      </c>
      <c r="C90">
        <v>36.450000000000003</v>
      </c>
      <c r="D90" t="s">
        <v>0</v>
      </c>
      <c r="E90" t="s">
        <v>48</v>
      </c>
      <c r="F90" t="s">
        <v>46</v>
      </c>
      <c r="G90" t="s">
        <v>28</v>
      </c>
      <c r="H90">
        <v>6</v>
      </c>
    </row>
    <row r="91" spans="1:8" x14ac:dyDescent="0.25">
      <c r="A91" s="1">
        <v>46184</v>
      </c>
      <c r="B91" t="s">
        <v>49</v>
      </c>
      <c r="C91">
        <v>35.18</v>
      </c>
      <c r="D91" t="s">
        <v>0</v>
      </c>
      <c r="E91" t="s">
        <v>50</v>
      </c>
      <c r="F91" t="s">
        <v>46</v>
      </c>
      <c r="G91" t="s">
        <v>28</v>
      </c>
      <c r="H91">
        <v>6</v>
      </c>
    </row>
    <row r="92" spans="1:8" x14ac:dyDescent="0.25">
      <c r="A92" s="1">
        <v>46187</v>
      </c>
      <c r="B92" t="s">
        <v>44</v>
      </c>
      <c r="C92">
        <v>63.9</v>
      </c>
      <c r="D92" t="s">
        <v>0</v>
      </c>
      <c r="E92" t="s">
        <v>45</v>
      </c>
      <c r="F92" t="s">
        <v>46</v>
      </c>
      <c r="G92" t="s">
        <v>28</v>
      </c>
      <c r="H92">
        <v>6</v>
      </c>
    </row>
    <row r="93" spans="1:8" x14ac:dyDescent="0.25">
      <c r="A93" s="1">
        <v>46191</v>
      </c>
      <c r="B93" t="s">
        <v>51</v>
      </c>
      <c r="C93">
        <v>24.99</v>
      </c>
      <c r="D93" t="s">
        <v>0</v>
      </c>
      <c r="E93" t="s">
        <v>1</v>
      </c>
      <c r="F93" t="s">
        <v>46</v>
      </c>
      <c r="G93" t="s">
        <v>28</v>
      </c>
      <c r="H93">
        <v>6</v>
      </c>
    </row>
    <row r="94" spans="1:8" x14ac:dyDescent="0.25">
      <c r="A94" s="1">
        <v>46192</v>
      </c>
      <c r="B94" t="s">
        <v>39</v>
      </c>
      <c r="C94">
        <v>889.04</v>
      </c>
      <c r="D94" t="s">
        <v>3</v>
      </c>
      <c r="E94" t="s">
        <v>40</v>
      </c>
      <c r="F94" t="s">
        <v>38</v>
      </c>
      <c r="G94" t="s">
        <v>28</v>
      </c>
      <c r="H94">
        <v>6</v>
      </c>
    </row>
    <row r="95" spans="1:8" x14ac:dyDescent="0.25">
      <c r="A95" s="1">
        <v>46192</v>
      </c>
      <c r="B95" t="s">
        <v>41</v>
      </c>
      <c r="C95">
        <v>150</v>
      </c>
      <c r="D95" t="s">
        <v>21</v>
      </c>
      <c r="E95" t="s">
        <v>41</v>
      </c>
      <c r="F95" t="s">
        <v>38</v>
      </c>
      <c r="G95" t="s">
        <v>28</v>
      </c>
      <c r="H95">
        <v>6</v>
      </c>
    </row>
    <row r="96" spans="1:8" x14ac:dyDescent="0.25">
      <c r="A96" s="1">
        <v>46192</v>
      </c>
      <c r="B96" t="s">
        <v>42</v>
      </c>
      <c r="C96">
        <v>100</v>
      </c>
      <c r="D96" t="s">
        <v>20</v>
      </c>
      <c r="E96" t="s">
        <v>43</v>
      </c>
      <c r="F96" t="s">
        <v>38</v>
      </c>
      <c r="G96" t="s">
        <v>28</v>
      </c>
      <c r="H96">
        <v>6</v>
      </c>
    </row>
    <row r="97" spans="1:8" x14ac:dyDescent="0.25">
      <c r="A97" s="1">
        <v>46194</v>
      </c>
      <c r="B97" t="s">
        <v>47</v>
      </c>
      <c r="C97">
        <v>19.8</v>
      </c>
      <c r="D97" t="s">
        <v>0</v>
      </c>
      <c r="E97" t="s">
        <v>48</v>
      </c>
      <c r="F97" t="s">
        <v>46</v>
      </c>
      <c r="G97" t="s">
        <v>28</v>
      </c>
      <c r="H97">
        <v>6</v>
      </c>
    </row>
    <row r="98" spans="1:8" x14ac:dyDescent="0.25">
      <c r="A98" s="1">
        <v>46198</v>
      </c>
      <c r="B98" t="s">
        <v>7</v>
      </c>
      <c r="C98">
        <v>48.62</v>
      </c>
      <c r="D98" t="s">
        <v>0</v>
      </c>
      <c r="E98" t="s">
        <v>7</v>
      </c>
      <c r="F98" t="s">
        <v>46</v>
      </c>
      <c r="G98" t="s">
        <v>28</v>
      </c>
      <c r="H98">
        <v>6</v>
      </c>
    </row>
    <row r="99" spans="1:8" x14ac:dyDescent="0.25">
      <c r="A99" s="1">
        <v>46204</v>
      </c>
      <c r="B99" t="s">
        <v>36</v>
      </c>
      <c r="C99">
        <v>65</v>
      </c>
      <c r="D99" t="s">
        <v>0</v>
      </c>
      <c r="E99" t="s">
        <v>37</v>
      </c>
      <c r="F99" t="s">
        <v>38</v>
      </c>
      <c r="G99" t="s">
        <v>27</v>
      </c>
      <c r="H99">
        <v>7</v>
      </c>
    </row>
    <row r="100" spans="1:8" x14ac:dyDescent="0.25">
      <c r="A100" s="1">
        <v>46206</v>
      </c>
      <c r="B100" t="s">
        <v>44</v>
      </c>
      <c r="C100">
        <v>98.84</v>
      </c>
      <c r="D100" t="s">
        <v>0</v>
      </c>
      <c r="E100" t="s">
        <v>45</v>
      </c>
      <c r="F100" t="s">
        <v>46</v>
      </c>
      <c r="G100" t="s">
        <v>27</v>
      </c>
      <c r="H100">
        <v>7</v>
      </c>
    </row>
    <row r="101" spans="1:8" x14ac:dyDescent="0.25">
      <c r="A101" s="1">
        <v>46206</v>
      </c>
      <c r="B101" t="s">
        <v>39</v>
      </c>
      <c r="C101">
        <v>846.73</v>
      </c>
      <c r="D101" t="s">
        <v>3</v>
      </c>
      <c r="E101" t="s">
        <v>40</v>
      </c>
      <c r="F101" t="s">
        <v>38</v>
      </c>
      <c r="G101" t="s">
        <v>27</v>
      </c>
      <c r="H101">
        <v>7</v>
      </c>
    </row>
    <row r="102" spans="1:8" x14ac:dyDescent="0.25">
      <c r="A102" s="1">
        <v>46206</v>
      </c>
      <c r="B102" t="s">
        <v>41</v>
      </c>
      <c r="C102">
        <v>150</v>
      </c>
      <c r="D102" t="s">
        <v>21</v>
      </c>
      <c r="E102" t="s">
        <v>41</v>
      </c>
      <c r="F102" t="s">
        <v>38</v>
      </c>
      <c r="G102" t="s">
        <v>27</v>
      </c>
      <c r="H102">
        <v>7</v>
      </c>
    </row>
    <row r="103" spans="1:8" x14ac:dyDescent="0.25">
      <c r="A103" s="1">
        <v>46206</v>
      </c>
      <c r="B103" t="s">
        <v>42</v>
      </c>
      <c r="C103">
        <v>100</v>
      </c>
      <c r="D103" t="s">
        <v>20</v>
      </c>
      <c r="E103" t="s">
        <v>43</v>
      </c>
      <c r="F103" t="s">
        <v>38</v>
      </c>
      <c r="G103" t="s">
        <v>27</v>
      </c>
      <c r="H103">
        <v>7</v>
      </c>
    </row>
    <row r="104" spans="1:8" x14ac:dyDescent="0.25">
      <c r="A104" s="1">
        <v>46208</v>
      </c>
      <c r="B104" t="s">
        <v>7</v>
      </c>
      <c r="C104">
        <v>52.68</v>
      </c>
      <c r="D104" t="s">
        <v>0</v>
      </c>
      <c r="E104" t="s">
        <v>7</v>
      </c>
      <c r="F104" t="s">
        <v>46</v>
      </c>
      <c r="G104" t="s">
        <v>27</v>
      </c>
      <c r="H104">
        <v>7</v>
      </c>
    </row>
    <row r="105" spans="1:8" x14ac:dyDescent="0.25">
      <c r="A105" s="1">
        <v>46211</v>
      </c>
      <c r="B105" t="s">
        <v>47</v>
      </c>
      <c r="C105">
        <v>44.2</v>
      </c>
      <c r="D105" t="s">
        <v>0</v>
      </c>
      <c r="E105" t="s">
        <v>48</v>
      </c>
      <c r="F105" t="s">
        <v>46</v>
      </c>
      <c r="G105" t="s">
        <v>27</v>
      </c>
      <c r="H105">
        <v>7</v>
      </c>
    </row>
    <row r="106" spans="1:8" x14ac:dyDescent="0.25">
      <c r="A106" s="1">
        <v>46213</v>
      </c>
      <c r="B106" t="s">
        <v>57</v>
      </c>
      <c r="C106">
        <v>176.8</v>
      </c>
      <c r="D106" t="s">
        <v>0</v>
      </c>
      <c r="E106" t="s">
        <v>45</v>
      </c>
      <c r="F106" t="s">
        <v>46</v>
      </c>
      <c r="G106" t="s">
        <v>27</v>
      </c>
      <c r="H106">
        <v>7</v>
      </c>
    </row>
    <row r="107" spans="1:8" x14ac:dyDescent="0.25">
      <c r="A107" s="1">
        <v>46214</v>
      </c>
      <c r="B107" t="s">
        <v>49</v>
      </c>
      <c r="C107">
        <v>30.56</v>
      </c>
      <c r="D107" t="s">
        <v>0</v>
      </c>
      <c r="E107" t="s">
        <v>50</v>
      </c>
      <c r="F107" t="s">
        <v>46</v>
      </c>
      <c r="G107" t="s">
        <v>27</v>
      </c>
      <c r="H107">
        <v>7</v>
      </c>
    </row>
    <row r="108" spans="1:8" x14ac:dyDescent="0.25">
      <c r="A108" s="1">
        <v>46217</v>
      </c>
      <c r="B108" t="s">
        <v>44</v>
      </c>
      <c r="C108">
        <v>59.45</v>
      </c>
      <c r="D108" t="s">
        <v>0</v>
      </c>
      <c r="E108" t="s">
        <v>45</v>
      </c>
      <c r="F108" t="s">
        <v>46</v>
      </c>
      <c r="G108" t="s">
        <v>27</v>
      </c>
      <c r="H108">
        <v>7</v>
      </c>
    </row>
    <row r="109" spans="1:8" x14ac:dyDescent="0.25">
      <c r="A109" s="1">
        <v>46220</v>
      </c>
      <c r="B109" t="s">
        <v>39</v>
      </c>
      <c r="C109">
        <v>871.58</v>
      </c>
      <c r="D109" t="s">
        <v>3</v>
      </c>
      <c r="E109" t="s">
        <v>40</v>
      </c>
      <c r="F109" t="s">
        <v>38</v>
      </c>
      <c r="G109" t="s">
        <v>27</v>
      </c>
      <c r="H109">
        <v>7</v>
      </c>
    </row>
    <row r="110" spans="1:8" x14ac:dyDescent="0.25">
      <c r="A110" s="1">
        <v>46220</v>
      </c>
      <c r="B110" t="s">
        <v>41</v>
      </c>
      <c r="C110">
        <v>150</v>
      </c>
      <c r="D110" t="s">
        <v>21</v>
      </c>
      <c r="E110" t="s">
        <v>41</v>
      </c>
      <c r="F110" t="s">
        <v>38</v>
      </c>
      <c r="G110" t="s">
        <v>27</v>
      </c>
      <c r="H110">
        <v>7</v>
      </c>
    </row>
    <row r="111" spans="1:8" x14ac:dyDescent="0.25">
      <c r="A111" s="1">
        <v>46220</v>
      </c>
      <c r="B111" t="s">
        <v>42</v>
      </c>
      <c r="C111">
        <v>100</v>
      </c>
      <c r="D111" t="s">
        <v>20</v>
      </c>
      <c r="E111" t="s">
        <v>43</v>
      </c>
      <c r="F111" t="s">
        <v>38</v>
      </c>
      <c r="G111" t="s">
        <v>27</v>
      </c>
      <c r="H111">
        <v>7</v>
      </c>
    </row>
    <row r="112" spans="1:8" x14ac:dyDescent="0.25">
      <c r="A112" s="1">
        <v>46221</v>
      </c>
      <c r="B112" t="s">
        <v>51</v>
      </c>
      <c r="C112">
        <v>24.99</v>
      </c>
      <c r="D112" t="s">
        <v>0</v>
      </c>
      <c r="E112" t="s">
        <v>1</v>
      </c>
      <c r="F112" t="s">
        <v>46</v>
      </c>
      <c r="G112" t="s">
        <v>27</v>
      </c>
      <c r="H112">
        <v>7</v>
      </c>
    </row>
    <row r="113" spans="1:8" x14ac:dyDescent="0.25">
      <c r="A113" s="1">
        <v>46224</v>
      </c>
      <c r="B113" t="s">
        <v>47</v>
      </c>
      <c r="C113">
        <v>21.35</v>
      </c>
      <c r="D113" t="s">
        <v>0</v>
      </c>
      <c r="E113" t="s">
        <v>48</v>
      </c>
      <c r="F113" t="s">
        <v>46</v>
      </c>
      <c r="G113" t="s">
        <v>27</v>
      </c>
      <c r="H113">
        <v>7</v>
      </c>
    </row>
    <row r="114" spans="1:8" x14ac:dyDescent="0.25">
      <c r="A114" s="1">
        <v>46228</v>
      </c>
      <c r="B114" t="s">
        <v>7</v>
      </c>
      <c r="C114">
        <v>45.73</v>
      </c>
      <c r="D114" t="s">
        <v>0</v>
      </c>
      <c r="E114" t="s">
        <v>7</v>
      </c>
      <c r="F114" t="s">
        <v>46</v>
      </c>
      <c r="G114" t="s">
        <v>27</v>
      </c>
      <c r="H114">
        <v>7</v>
      </c>
    </row>
    <row r="115" spans="1:8" x14ac:dyDescent="0.25">
      <c r="A115" s="1">
        <v>46234</v>
      </c>
      <c r="B115" t="s">
        <v>39</v>
      </c>
      <c r="C115">
        <v>857.2</v>
      </c>
      <c r="D115" t="s">
        <v>3</v>
      </c>
      <c r="E115" t="s">
        <v>40</v>
      </c>
      <c r="F115" t="s">
        <v>38</v>
      </c>
      <c r="G115" t="s">
        <v>27</v>
      </c>
      <c r="H115">
        <v>7</v>
      </c>
    </row>
    <row r="116" spans="1:8" x14ac:dyDescent="0.25">
      <c r="A116" s="1">
        <v>46234</v>
      </c>
      <c r="B116" t="s">
        <v>41</v>
      </c>
      <c r="C116">
        <v>150</v>
      </c>
      <c r="D116" t="s">
        <v>21</v>
      </c>
      <c r="E116" t="s">
        <v>41</v>
      </c>
      <c r="F116" t="s">
        <v>38</v>
      </c>
      <c r="G116" t="s">
        <v>27</v>
      </c>
      <c r="H116">
        <v>7</v>
      </c>
    </row>
    <row r="117" spans="1:8" x14ac:dyDescent="0.25">
      <c r="A117" s="1">
        <v>46234</v>
      </c>
      <c r="B117" t="s">
        <v>42</v>
      </c>
      <c r="C117">
        <v>100</v>
      </c>
      <c r="D117" t="s">
        <v>20</v>
      </c>
      <c r="E117" t="s">
        <v>43</v>
      </c>
      <c r="F117" t="s">
        <v>38</v>
      </c>
      <c r="G117" t="s">
        <v>27</v>
      </c>
      <c r="H117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</vt:lpstr>
      <vt:lpstr>Expenses</vt:lpstr>
      <vt:lpstr>Budget</vt:lpstr>
      <vt:lpstr>Savings</vt:lpstr>
      <vt:lpstr>investments</vt:lpstr>
      <vt:lpstr>Sample_Transactions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2026-08-06T20:32:49Z</dcterms:created>
  <dcterms:modified xsi:type="dcterms:W3CDTF">2026-08-06T20:42:04Z</dcterms:modified>
</cp:coreProperties>
</file>